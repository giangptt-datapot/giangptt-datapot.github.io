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mc:AlternateContent xmlns:mc="http://schemas.openxmlformats.org/markup-compatibility/2006">
    <mc:Choice Requires="x15">
      <x15ac:absPath xmlns:x15ac="http://schemas.microsoft.com/office/spreadsheetml/2010/11/ac" url="https://datapotanalytic.sharepoint.com/sites/OperationalInnovationSystem-01OperationalSystem/Shared Documents/01 Operational System/02 Requirement/giangptt/"/>
    </mc:Choice>
  </mc:AlternateContent>
  <xr:revisionPtr revIDLastSave="2875" documentId="8_{D4EEC08D-55FA-4BA9-81AD-82DB467A1798}" xr6:coauthVersionLast="47" xr6:coauthVersionMax="47" xr10:uidLastSave="{B6C4A9FC-D572-48E3-A9D9-E61511E5C35A}"/>
  <bookViews>
    <workbookView xWindow="-108" yWindow="-108" windowWidth="23256" windowHeight="12456" firstSheet="7" xr2:uid="{C4479E29-367B-4022-8E82-30935322407A}"/>
  </bookViews>
  <sheets>
    <sheet name="00. README" sheetId="25" r:id="rId1"/>
    <sheet name="Filter" sheetId="24" state="hidden" r:id="rId2"/>
    <sheet name="01. Master Product Catalog" sheetId="30" r:id="rId3"/>
    <sheet name="02. Definition" sheetId="31" r:id="rId4"/>
    <sheet name="03. Q &amp; A" sheetId="29" r:id="rId5"/>
    <sheet name="Ref Courseware Title Plan" sheetId="17" r:id="rId6"/>
    <sheet name="Ref Certifications &amp; Exams" sheetId="27" r:id="rId7"/>
    <sheet name="Ref Applied Skills Assessments" sheetId="28" r:id="rId8"/>
    <sheet name="Checklist điều chỉnh" sheetId="18"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8" l="1"/>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6" i="30"/>
  <c r="A35" i="30"/>
  <c r="A34" i="30"/>
  <c r="A33" i="30"/>
  <c r="A32" i="30"/>
  <c r="A31" i="30"/>
  <c r="A30" i="30"/>
  <c r="A29" i="30"/>
  <c r="A28" i="30"/>
  <c r="A27" i="30"/>
  <c r="A26" i="30"/>
  <c r="A25" i="30"/>
  <c r="A24" i="30"/>
  <c r="A23" i="30"/>
  <c r="A22" i="30"/>
  <c r="A21" i="30"/>
  <c r="A20" i="30"/>
  <c r="A19" i="30"/>
  <c r="A18" i="30"/>
  <c r="A17" i="30"/>
  <c r="A16" i="30"/>
  <c r="A15" i="30"/>
  <c r="A14" i="30"/>
  <c r="A13" i="30"/>
  <c r="A12" i="30"/>
  <c r="A11" i="30"/>
  <c r="A10" i="30"/>
  <c r="A9" i="30"/>
  <c r="A8" i="30"/>
  <c r="A7" i="30"/>
  <c r="A6" i="30"/>
  <c r="A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tc={65C2318F-90D8-44CB-809E-3A003B81215C}</author>
  </authors>
  <commentList>
    <comment ref="F5" authorId="0" shapeId="0" xr:uid="{65C2318F-90D8-44CB-809E-3A003B81215C}">
      <text>
        <t xml:space="preserve">[Threaded comment]
Your version of Excel allows you to read this threaded comment; however, any edits to it will get removed if the file is opened in a newer version of Excel. Learn more: https://go.microsoft.com/fwlink/?linkid=870924
Comment:
    Sao không gom 5 bảng này thành 1 bảng nhỉ? Cân nhắc đánh mã cho các khái niệm. </t>
      </text>
    </comment>
  </commentList>
</comments>
</file>

<file path=xl/sharedStrings.xml><?xml version="1.0" encoding="utf-8"?>
<sst xmlns="http://schemas.openxmlformats.org/spreadsheetml/2006/main" count="3105" uniqueCount="1353">
  <si>
    <t>README — Master Product Catalog (ver2026.01)</t>
  </si>
  <si>
    <t>Updated at: 2026/01/31</t>
  </si>
  <si>
    <t>Updated by: GiangPTT</t>
  </si>
  <si>
    <t>1) Mục tiêu của Master Product Catalog</t>
  </si>
  <si>
    <r>
      <rPr>
        <sz val="11"/>
        <color rgb="FF242424"/>
        <rFont val="Aptos Narrow"/>
      </rPr>
      <t>Tạo Single Source of Truth (</t>
    </r>
    <r>
      <rPr>
        <b/>
        <sz val="11"/>
        <color rgb="FF242424"/>
        <rFont val="Aptos Narrow"/>
      </rPr>
      <t>SSOT</t>
    </r>
    <r>
      <rPr>
        <sz val="11"/>
        <color rgb="FF242424"/>
        <rFont val="Aptos Narrow"/>
      </rPr>
      <t>) cho thông tin sản phẩm/khóa học để đồng bộ giữa:</t>
    </r>
  </si>
  <si>
    <t>Website Datapot (Product page / Cart-Checkout / Schedule / Blog-Posts)</t>
  </si>
  <si>
    <t>Hệ thống ứng dụng nội bộ (phục vụ class_code, nhận diện sản phẩm, thống kê)</t>
  </si>
  <si>
    <t>Nội dung truyền thông (ấn phẩm, bài viết, landing page)</t>
  </si>
  <si>
    <t xml:space="preserve">Nguyên tắc vàng: </t>
  </si>
  <si>
    <t>Platform khác không được tự coi là chuẩn. Mọi thay đổi “chuẩn” phải cập nhật trong Master Product Catalog trước.</t>
  </si>
  <si>
    <t>2) Hướng dẫn nhanh</t>
  </si>
  <si>
    <r>
      <rPr>
        <sz val="11"/>
        <color rgb="FF000000"/>
        <rFont val="Aptos Narrow"/>
      </rPr>
      <t>- Tra cứu / theo dõi danh sách sản phẩm → Sheet</t>
    </r>
    <r>
      <rPr>
        <b/>
        <sz val="11"/>
        <color rgb="FF000000"/>
        <rFont val="Aptos Narrow"/>
      </rPr>
      <t xml:space="preserve"> 01. Master Product Catalog</t>
    </r>
  </si>
  <si>
    <r>
      <rPr>
        <sz val="11"/>
        <color rgb="FF000000"/>
        <rFont val="Aptos Narrow"/>
      </rPr>
      <t xml:space="preserve">- Hiểu khái niệm &amp; cách dùng các trường thông tin sản phẩm → Sheet </t>
    </r>
    <r>
      <rPr>
        <b/>
        <sz val="11"/>
        <color rgb="FF000000"/>
        <rFont val="Aptos Narrow"/>
      </rPr>
      <t>02. Definition</t>
    </r>
  </si>
  <si>
    <r>
      <rPr>
        <sz val="11"/>
        <color rgb="FF000000"/>
        <rFont val="Aptos Narrow"/>
      </rPr>
      <t xml:space="preserve">- Tra cứu nguồn tham khảo từ Microsoft → Các sheet có tiền tố Ref </t>
    </r>
    <r>
      <rPr>
        <i/>
        <sz val="11"/>
        <color rgb="FF000000"/>
        <rFont val="Aptos Narrow"/>
      </rPr>
      <t>(</t>
    </r>
    <r>
      <rPr>
        <b/>
        <i/>
        <sz val="11"/>
        <color rgb="FF000000"/>
        <rFont val="Aptos Narrow"/>
      </rPr>
      <t>Ref Certifications &amp; Exams / Ref Applied Skills Assessments / Ref Courseware Title Plan</t>
    </r>
    <r>
      <rPr>
        <i/>
        <sz val="11"/>
        <color rgb="FF000000"/>
        <rFont val="Aptos Narrow"/>
      </rPr>
      <t>)</t>
    </r>
  </si>
  <si>
    <t>Các sheet thông tin tham khảo từ Microsoft sẽ được cập nhật định kỳ theo thông báo của Microsoft</t>
  </si>
  <si>
    <r>
      <rPr>
        <sz val="11"/>
        <color rgb="FF000000"/>
        <rFont val="Aptos Narrow"/>
      </rPr>
      <t xml:space="preserve">- Gửi câu hỏi &amp; theo dõi thông tin giải đáp → Sheet </t>
    </r>
    <r>
      <rPr>
        <b/>
        <sz val="11"/>
        <color rgb="FF000000"/>
        <rFont val="Aptos Narrow"/>
      </rPr>
      <t>03. Q&amp;A</t>
    </r>
  </si>
  <si>
    <t>3) Các quy tắc áp dụng</t>
  </si>
  <si>
    <t>a) Quy tắc đặt mã và tên sản phẩm</t>
  </si>
  <si>
    <t>Khái niệm</t>
  </si>
  <si>
    <t>Mục đích</t>
  </si>
  <si>
    <t>Yêu cầu</t>
  </si>
  <si>
    <t>Quy tắc</t>
  </si>
  <si>
    <t>product_code (mã hệ thống / nội bộ)</t>
  </si>
  <si>
    <t>Dùng để định danh sản phẩm trong hệ thống: LMS/Ops, đồng bộ dữ liệu, mapping class/variation, báo cáo.</t>
  </si>
  <si>
    <t>- Ngắn, ổn định lâu dài
- Không ký tự đặc biệt / khoảng trắng
- Không đổi tuỳ tiện (đổi sẽ ảnh hưởng mapping &amp; sync)</t>
  </si>
  <si>
    <t>1) Nếu display_code là mã Microsoft dạng có dấu “-” → product_code = bỏ dấu “-”.
• VD: PL-300 → PL300, AI-900 → AI900
2) Nếu sản phẩm Datapot custom → product_code = viết tắt có nghĩa, tránh trùng.
• VD: APBI, EXDA</t>
  </si>
  <si>
    <t>display_code (mã hiển thị)</t>
  </si>
  <si>
    <t>Dùng để hiển thị cho người dùng: product page, ấn phẩm, lịch khai giảng, slide, poster.</t>
  </si>
  <si>
    <t>- Dễ đọc, dễ nhận diện
- Với sản phẩm Microsoft: giữ đúng format thị trường (thường có “-”)</t>
  </si>
  <si>
    <t>1) Microsoft: dùng theo course_number của Microsoft và bỏ đuôi T00/T01 (nếu có).
• VD: PL-300T00 → PL-300
2) Datapot: giống product_code.
• VD: APBI</t>
  </si>
  <si>
    <t>alias (mapping tên/mã từng dùng)</t>
  </si>
  <si>
    <t>Dùng để tra cứu nhanh &amp; mapping dữ liệu cũ, tránh “mất dấu vết” khi trước đây từng dùng nhiều cách gọi/mã khác nhau.</t>
  </si>
  <si>
    <t>- Có thể có nhiều alias cho 1 sản phẩm
- Viết đúng các biến thể đã từng dùng (để search ra được)</t>
  </si>
  <si>
    <t>- Alias không phải mã chính thức. Không dùng alias để hiển thị mặc định.
- Khi phát hiện có nhiều cách viết (VD: có/không có dấu “-”, viết tắt khác nhau) → bổ sung vào alias để mapping.
• VD: sản phẩm EXDA có alias: EXCELDA</t>
  </si>
  <si>
    <t>product_name (tên sản phẩm)</t>
  </si>
  <si>
    <t>Dùng để sử dụng nhất quán giữa các hệ thống và làm “tên chuẩn” để hiển thị</t>
  </si>
  <si>
    <r>
      <rPr>
        <b/>
        <sz val="11"/>
        <color rgb="FF000000"/>
        <rFont val="Aptos Narrow"/>
        <scheme val="minor"/>
      </rPr>
      <t xml:space="preserve">Rule cho Microsoft (chọn đúng theo phân loại):
</t>
    </r>
    <r>
      <rPr>
        <sz val="11"/>
        <color rgb="FF000000"/>
        <rFont val="Aptos Narrow"/>
        <scheme val="minor"/>
      </rPr>
      <t xml:space="preserve">1) Credential = Exam/Certification → product_name lấy theo exam_name
• VD: PL-300 → “Microsoft Power BI Data Analyst”
2) Credential = Applied Skills Assessment → product_name lấy theo course title
3) Credential = N/A → product_name ưu tiên theo exam_name (nếu có) / hoặc theo title chuẩn trong Ref
</t>
    </r>
    <r>
      <rPr>
        <b/>
        <sz val="11"/>
        <color rgb="FF000000"/>
        <rFont val="Aptos Narrow"/>
        <scheme val="minor"/>
      </rPr>
      <t xml:space="preserve">Rule cho Datapot/custom:
</t>
    </r>
    <r>
      <rPr>
        <sz val="11"/>
        <color rgb="FF000000"/>
        <rFont val="Aptos Narrow"/>
        <scheme val="minor"/>
      </rPr>
      <t>- Đặt tên tiếng Anh mô tả đúng nội dung học, nhất quán với định vị sản phẩm.</t>
    </r>
  </si>
  <si>
    <t>b) Quy tắc hiển thị chuẩn của sản phẩm</t>
  </si>
  <si>
    <t>Quy tắc hiển thị đầy đủ</t>
  </si>
  <si>
    <t>&lt;display_code&gt; – &lt;product_name&gt;
VD: PL-300 – Microsoft Power BI Data Analyst</t>
  </si>
  <si>
    <t>Nguồn tham chiếu chuẩn</t>
  </si>
  <si>
    <t>Cột full_product_name trong sheet 01. Master Product Catalog.</t>
  </si>
  <si>
    <t>Certificate/Credential</t>
  </si>
  <si>
    <t>Completion của Datapot</t>
  </si>
  <si>
    <t>Achievement của Microsoft</t>
  </si>
  <si>
    <t>Achievement của Microsoft
Completion của Datapot</t>
  </si>
  <si>
    <t>N/A</t>
  </si>
  <si>
    <t>product_type</t>
  </si>
  <si>
    <t>Program</t>
  </si>
  <si>
    <t>Course</t>
  </si>
  <si>
    <t>Voucher</t>
  </si>
  <si>
    <t>status</t>
  </si>
  <si>
    <t>Active</t>
  </si>
  <si>
    <t>Inactive</t>
  </si>
  <si>
    <t>Draft</t>
  </si>
  <si>
    <t>provider</t>
  </si>
  <si>
    <t>Microsoft</t>
  </si>
  <si>
    <t>Khóa học dựa trên giáo trình của microsoft</t>
  </si>
  <si>
    <t>Datapot</t>
  </si>
  <si>
    <t>Customize</t>
  </si>
  <si>
    <t>Microsoft
Datapot</t>
  </si>
  <si>
    <t>Lộ trình kết hợp cả 2</t>
  </si>
  <si>
    <t>ms_credential</t>
  </si>
  <si>
    <t>Exam/Certification</t>
  </si>
  <si>
    <t>Applied Skills Assessment</t>
  </si>
  <si>
    <t>Master Product Catalog (ver2026.01)</t>
  </si>
  <si>
    <t>#</t>
  </si>
  <si>
    <t>product_code</t>
  </si>
  <si>
    <t>display_code</t>
  </si>
  <si>
    <t>product_name</t>
  </si>
  <si>
    <t>full_product_name</t>
  </si>
  <si>
    <t>Status</t>
  </si>
  <si>
    <t>short_description</t>
  </si>
  <si>
    <t>Provider</t>
  </si>
  <si>
    <t>Certificate_Type</t>
  </si>
  <si>
    <t>MS_Credential</t>
  </si>
  <si>
    <t>Project</t>
  </si>
  <si>
    <t>Level</t>
  </si>
  <si>
    <t>Prerequisites</t>
  </si>
  <si>
    <t>Delivery</t>
  </si>
  <si>
    <t>Duration</t>
  </si>
  <si>
    <t>Price (VND)</t>
  </si>
  <si>
    <t>course_objectives</t>
  </si>
  <si>
    <t>Target Audience</t>
  </si>
  <si>
    <t>Curriculum Outline</t>
  </si>
  <si>
    <t>Outcomes/Skills</t>
  </si>
  <si>
    <t>Main Source URL(s)</t>
  </si>
  <si>
    <t>Alias</t>
  </si>
  <si>
    <t>AI900</t>
  </si>
  <si>
    <t>AI-900</t>
  </si>
  <si>
    <t>Microsoft Azure AI Fundamentals</t>
  </si>
  <si>
    <t>Cung cấp kiến thức nền tảng về Machine Learning (ML) và cách làm chủ Microsoft Azure AI – nền tảng đám mây về trí tuệ nhân tạo hàng đầu</t>
  </si>
  <si>
    <t>Beginner, Fresher</t>
  </si>
  <si>
    <t>Không yêu cầu kiến thức lập trình</t>
  </si>
  <si>
    <t>E-learning</t>
  </si>
  <si>
    <t>12 giờ</t>
  </si>
  <si>
    <t>- Nắm vững khái niệm AI: Hiểu rõ về Machine Learning, Thị giác máy tính, NLP và AI tạo sinh.
- Dịch vụ Azure AI: Làm việc với AI Vision, Language, Speech, Translator và Search để giải quyết bài toán kinh doanh.
- Xây dựng giải pháp AI: Trang bị cách làm việc với Azure Machine Learning và xây dựng giải pháp trên Microsoft Azure.
- Sử dụng AI có trách nhiệm: Hiểu về các thách thức trong việc sử dụng trí tuệ nhân tạo một cách minh bạch, an toàn.</t>
  </si>
  <si>
    <t>Người tìm hiểu định hướng nghề Data/AI; 
Nhân sự muốn ứng dụng AI trên Azure</t>
  </si>
  <si>
    <t>Tổng quan Azure AI; Các khái niệm cơ bản AI; Học máy; Dịch vụ Azure AI; Thị giác máy tính; NLP; Trí tuệ tài liệu; AI tạo sinh &amp; Azure AI Foundry.</t>
  </si>
  <si>
    <t>Nắm được khái niệm AI (Machine Learning, Thị giác máy tính, NLP, AI tạo sinh); sử dụng dịch vụ Azure AI giải quyết bài toán kinh doanh; đủ điều kiện thi chứng chỉ AI-900.</t>
  </si>
  <si>
    <t>AI-900 - Microsoft Azure AI Fundamentals - Datapot.vn</t>
  </si>
  <si>
    <t>APBI</t>
  </si>
  <si>
    <t>Power BI Advanced Data Modeling and Visualization</t>
  </si>
  <si>
    <t xml:space="preserve">Khóa học APBI giúp bạn phát triển mô hình dữ liệu và DAX nâng cao để phân tích bài toán kinh doanh một cách chính xác và chuyên sâu. </t>
  </si>
  <si>
    <t>NULL</t>
  </si>
  <si>
    <t>Có</t>
  </si>
  <si>
    <t>Intermediate/ Advanced</t>
  </si>
  <si>
    <t>Đã học/làm việc với Power BI</t>
  </si>
  <si>
    <t>Online</t>
  </si>
  <si>
    <t>20 giờ học</t>
  </si>
  <si>
    <t>- Viết measure DAX nâng cao: Linh hoạt ứng dụng trong các bài toán phân tích từ đơn giản đến phức tạp.
- Xây dựng &amp; tối ưu: Mô hình dữ liệu chuẩn doanh nghiệp.
- Làm chủ Power Query/M: Biến đổi &amp; làm sạch dữ liệu.
- Thiết kế báo cáo: Trực quan hóa dữ liệu &amp; kể chuyện bằng dữ liệu.</t>
  </si>
  <si>
    <t xml:space="preserve">- Người mới chuyển ngành: Cần làm báo cáo và phân tích dữ liệu bằng Power BI một cách nhanh, trực quan và hiệu quả.
- Nhân sự đa ngành: Muốn tối ưu quy trình và trực quan hóa dữ liệu bằng dashboard.
- Người đã có kiến thức về Power BI: Muốn nâng cao kỹ năng Modeling &amp; DAX.
- Sinh viên: Định hướng phát triển sự nghiệp trong lĩnh vực Data Analyst / Business Intelligence.
</t>
  </si>
  <si>
    <t>1. Xây dựng mô hình dữ liệu
2. Nắm vững các khái niệm về DAX
3. Phân tích hành vi và nhóm khách hàng
4. Ứng dụng các hàm DAX trong thực tế
5. Sử dụng hàm Iterator &amp; Relationship để làm rõ dữ liệu
6. Dùng hàm Table &amp; triển khai phân tích sản phẩm
7. Mở rộng phân tích sản phẩm và thực hiện phân tích Cohort
8. Áp dụng hàm Time Intelligence để xem xu hướng thời gian
9. Thực hiện phân tích RFM (Recency, Frequency, Monetary)
10. Tổng hợp kiến thức khóa học, chia sẻ kinh nghiệm thực chiến từ chuyên gia</t>
  </si>
  <si>
    <t>Kỹ năng phân tích bài toán kinh doanh; xây dựng mô hình dữ liệu hiệu quả; thành thạo công thức DAX; nghệ thuật kể chuyện qua dữ liệu</t>
  </si>
  <si>
    <t>APBI - Power BI Advanced Data Modeling and Visualization - Datapot.vn</t>
  </si>
  <si>
    <t>ASQL</t>
  </si>
  <si>
    <t>Advanced Query with T-SQL</t>
  </si>
  <si>
    <t xml:space="preserve">Khóa học giúp bạn thành thạo Microsoft SQL Server - từ truy vấn nâng cao đến thiết kế và tối ưu cơ sở dữ liệu thông minh, đồng thời củng cố năng lực chuyên môn để tự tin sẵn sàng cho vai trò Data Analyst, Data Engineer hoặc DBA. </t>
  </si>
  <si>
    <t>Intermediate</t>
  </si>
  <si>
    <t>Đã học/Làm việc với SQL</t>
  </si>
  <si>
    <t>16 Giờ học</t>
  </si>
  <si>
    <t>- Trang bị năng lực truy vấn: Làm việc với cơ sở dữ liệu bằng Transact-SQL (T-SQL) trên Microsoft SQL Server.
- Nắm bắt kinh nghiệm triển khai thực tế:Thủ thuật, lỗi thường gặp và cách lựa chọn phương án truy vấn phù hợp.
- Sử dụng T-SQL để thiết kế và tùy chỉnh cơ sở dữ liệu: Tối ưu truy vấn, gia tăng hiệu suất.
- Ứng dụng các kỹ thuật truy vấn nâng cao: PIVOT/UNPIVOT, CUBE, ROLLUP để tổng hợp và phân tích dữ liệu đa chiều.
- Phát triển khả năng thiết kế &amp; lập trình: Xây dựng Stored Procedure và User-Defined Function.</t>
  </si>
  <si>
    <t>- Sinh viên định hướng theo ngành dữ liệu: Sinh viên ngành kinh tế muốn xây dựng nền tảng vững chắc để theo đuổi ngành DA, DE.
- Cá nhân đã có kiến thức cơ bản về SQL: Muốn học thêm để nâng cao kĩ năng, tìm hiểu sâu hơn về SQL.
- Chuyên viên đang làm việc với dữ liệu: Muốn nâng cao trình độ, tối ưu hiệu suất công việc</t>
  </si>
  <si>
    <t>1. Ôn tập và củng cố kiến thức SQL cơ bản.
2. Ôn tập và củng cố kiến thức SQL cơ bản.
3. Tổng hợp dữ liệu nâng cao và các toán tử xử lý set (Set Operators).
4. Case study: Cohort Analysis.
5. Case study: RFM Analysis.
6. Lập trình trong cơ sở dữ liệu và tối ưu truy vấn.
7. Vận dụng User-Defined Function.
8. Vận dụng Stored Procedure.</t>
  </si>
  <si>
    <t>Thành thạo T-SQL thiết kế/tùy chỉnh CSDL; truy vấn nâng cao (Pivot, Cube, Roll up); lập trình CSDL (Stored Procedure, UDF); tối ưu hóa truy vấn.</t>
  </si>
  <si>
    <t>ASQL - Advanced Query with T-SQL - Datapot.vn</t>
  </si>
  <si>
    <t>BAED</t>
  </si>
  <si>
    <t>Digital Business Analyst Skills</t>
  </si>
  <si>
    <t>Cung cấp góc nhìn khái quát về vai trò của BA trong thời đại số, tập trung vào CX, UX, customer journey và thiết kế cơ sở dữ liệu định hướng kinh doanh</t>
  </si>
  <si>
    <t>Kiến thức cơ bản về BA</t>
  </si>
  <si>
    <t>20 giờ</t>
  </si>
  <si>
    <t>- Tư duy chuyển đổi số: Hiểu đúng về thách thức và kỹ năng BA cần có trong các dự án số hóa.
- Thiết kế trải nghiệm (UX/UI): Xác định Customer Persona, Empathy Mapping và thiết kế Customer Journey Map.
- Phân tích sản phẩm: Thiết lập mục tiêu OKR/KPI, lựa chọn metric đo lường và lập kế hoạch A/B testing.
- Mô hình hóa dữ liệu kinh doanh: Nắm vững Data Modeling, Conceptual model và thiết kế ERD định hướng kinh doanh.</t>
  </si>
  <si>
    <t>BA muốn cập nhật kỹ năng số; 
Tester hoặc Dev muốn chuyển nghề</t>
  </si>
  <si>
    <t>Digital transformation; 
UI/UX &amp; Empathy mapping; 
Customer journey mapping; 
Mobile projects; User Research; 
OKR &amp; KPI; Data modelling; 
ERD; 
A/B Testing.</t>
  </si>
  <si>
    <t>Hiểu chuyển đổi số; xác định customer persona &amp; empathy mapping; thiết kế Customer Journey Map; Data Modeling &amp; ERD; lập kế hoạch A/B testing.</t>
  </si>
  <si>
    <t>BAED - Digital Business Analyst Skills - Datapot.vn</t>
  </si>
  <si>
    <t>BAFU</t>
  </si>
  <si>
    <t>Fundamental Business Analyst Skills</t>
  </si>
  <si>
    <t>Khóa học toàn diện cung cấp hệ thống kiến thức nền tảng và các kỹ năng thiết yếu dành cho bất cứ ai muốn theo đuổi nghề BA chuyên nghiệp</t>
  </si>
  <si>
    <t>Beginner</t>
  </si>
  <si>
    <t>Không yêu cầu lập trình</t>
  </si>
  <si>
    <t>N/A (Contact/ Quote)</t>
  </si>
  <si>
    <t>- Làm chủ quy trình BA: Hiểu skillset, career path và các framework như Agile (Scrum, Kanban), Waterfall.
- Khơi gợi &amp; Quản lý yêu cầu: Nắm vững phương pháp lấy yêu cầu từ stakeholder và quản lý Product Backlog.
- Thiết kế tài liệu nghiệp vụ: Viết thành thạo User Story, Usecase, tài liệu BRD và SRS chuẩn chỉnh.
- Sử dụng sơ đồ (Diagram): Ứng dụng Sequence diagram, UML và Value stream mapping để phân tích nghiệp vụ.</t>
  </si>
  <si>
    <t>Định hướng nghề BA; BA muốn học tư duy dữ liệu</t>
  </si>
  <si>
    <t>Tổng quan BA; 
Agile framework (Scrum, Kanban); 
Khơi gợi yêu cầu; 
Effective diagrams; 
Requirement Documents; 
Test skills; 
Final Project.</t>
  </si>
  <si>
    <t>Hiểu skillset/career path BA; rèn tư duy phản biện; viết tài liệu nghiệp vụ (User story, Usecase, BRD, SRS, Testcase); vẽ các loại Diagram thực tế; kỹ năng kiểm thử.</t>
  </si>
  <si>
    <t>BAFU - Fundamental Business Analyst Skills - Datapot.vn</t>
  </si>
  <si>
    <t>BISQL</t>
  </si>
  <si>
    <t>Combo Power BI &amp; SQL</t>
  </si>
  <si>
    <t>Lộ trình kết hợp hai công cụ phổ biến nhất ngành dữ liệu (SQL và Power BI), trang bị đầy đủ kỹ năng để bắt đầu làm việc với vai trò Junior DA/BI</t>
  </si>
  <si>
    <t>Online/ Offline</t>
  </si>
  <si>
    <t>Nhân sự muốn làm Junior DA/BI; Sinh viên chuyên ngành BA/DA</t>
  </si>
  <si>
    <t>1. Khóa DP-080 (T-SQL); 
2. Khóa PL-300 (Power BI)</t>
  </si>
  <si>
    <t>Truy vấn SQL cơ bản; Mô hình hóa &amp; báo cáo Power BI; Chuẩn bị thi PL-300</t>
  </si>
  <si>
    <t>BISQL - Combo Power BI &amp; SQL - Datapot.vn</t>
  </si>
  <si>
    <t>BOPA</t>
  </si>
  <si>
    <t>Optimize Business Process using Power Apps, Power Automate &amp; Power BI</t>
  </si>
  <si>
    <t>Lộ trình lý tưởng để khai thác hệ sinh thái low-code của Microsoft nhằm phát triển ứng dụng và tự động hóa quy trình vận hành nội bộ doanh nghiệp.</t>
  </si>
  <si>
    <t>Fresher, Junior</t>
  </si>
  <si>
    <t>Không yêu cầu</t>
  </si>
  <si>
    <t>20 giờ
20 giờ
32 giờ</t>
  </si>
  <si>
    <t>- Hiểu về Power Platform (với các công cụ chính Power Automate, Power Apps, Power BI) và cách tích hợp để tối ưu quy trình.
- Xây dựng ứng dụng: Thiết kế ứng dụng tùy chỉnh với Power Apps, kết nối dữ liệu từ nhiều nguồn.
- Tự động hóa quy trình: Tạo và triển khai các luồng tự động hóa giúp giảm thao tác thủ công.
- Quản lý &amp; phân tích dữ liệu: Kết nối, quản lý dữ liệu hiệu quả và trực quan hóa bằng Power BI.
- Phát triển tư duy giải pháp: Áp dụng case study thực tế để giải quyết bài toán kinh doanh.</t>
  </si>
  <si>
    <t>- Doanh nghiệp/Phòng ban: Cần chuẩn hoá quy trình, giảm thao tác thủ công.
- Cá nhân đi làm: Muốn tối ưu quy trình và tự động hoá công việc.
- Sinh viên: Định hướng theo đuổi lĩnh vực phát triển Power Platform.</t>
  </si>
  <si>
    <t>1. PL-7001 (Power Apps); 
2. PL-7002 (Power Automate); 
3. PL-300 (Power BI)</t>
  </si>
  <si>
    <t>Tư duy LEAN; Phát triển Canvas App; Tự động hóa với AI Builder; Báo cáo Power BI</t>
  </si>
  <si>
    <t>Optimize Business Process using Power Automate &amp; Power App</t>
  </si>
  <si>
    <t>CRBA</t>
  </si>
  <si>
    <t>Career Success Guide</t>
  </si>
  <si>
    <t>Khóa học thiết kế đặc biệt giúp học viên chuẩn bị hành trang nghề nghiệp, rèn luyện tư duy thiết kế, phản biện và hoàn thiện kỹ năng phỏng vấn vị trí BA</t>
  </si>
  <si>
    <t>8 giờ</t>
  </si>
  <si>
    <t>- Tư duy &amp; Mindset: Rèn luyện tư duy thiết kế, tư duy phản biện và thiết lập mục tiêu công việc.
- Kỹ năng thiết yếu: Nâng cao kỹ năng giao tiếp, thuyết trình, làm việc nhóm và quản lý thời gian.
- Thương hiệu cá nhân: Hoàn thiện cách viết CV hiệu quả và xây dựng Profile chuyên nghiệp.
- Thực chiến phỏng vấn: Trải nghiệm Mock Interview 1-1 với các Leader doanh nghiệp để sẵn sàng đi làm.</t>
  </si>
  <si>
    <t>Người chuyển nghề sang BA; 
Sinh viên định hướng BA/DA</t>
  </si>
  <si>
    <t>1. General preparation; 
2. Essential skills; 
3. CV correction &amp; Mock interview</t>
  </si>
  <si>
    <t>Tư duy thiết kế &amp; phản biện; Kỹ năng mềm; Hoàn thiện CV/Phỏng vấn</t>
  </si>
  <si>
    <t>CRBA - Career Success Guide - Datapot.vn</t>
  </si>
  <si>
    <t>CRDA</t>
  </si>
  <si>
    <t>Data Analytics Preparation</t>
  </si>
  <si>
    <t>Chuẩn bị hành trang kỹ càng trước khi bước vào môi trường công việc thông qua các trải nghiệm sát thực tế về phân tích dữ liệu và phỏng vấn 1-1.</t>
  </si>
  <si>
    <t>- Ứng dụng kỹ năng mềm: Hoàn thiện CV và thực hiện Mock Interview sát thực tế.
- Hiểu nguyên tắc: Critical Thinking và Design Thinking trong chuẩn bị công việc.
- Phát triển tư duy: Thiết lập mục tiêu công việc và xếp thứ tự ưu tiên.
- Trải nghiệm thực hành: Phỏng vấn thử 1-1 với Leader các doanh nghiệp lớn.
- Trang bị kiến thức: Sẵn sàng hành trang bước vào môi trường công việc chuyên nghiệp.</t>
  </si>
  <si>
    <t>Người chuyển hướng nghề DA; 
Sinh viên khối kinh tế</t>
  </si>
  <si>
    <t>General preparation &amp; mindset; 
Essential skills (Giao tiếp, Thuyết trình, Viết CV, Quản lý thời gian); 
CV correction &amp; Mock interview 1-1.</t>
  </si>
  <si>
    <t>Rèn luyện tư duy thiết kế &amp; phản biện; kỹ năng mềm (giao tiếp, làm việc nhóm, quản lý thời gian); hoàn thiện CV &amp; phỏng vấn thử 1-1.</t>
  </si>
  <si>
    <t>CDA - Data Analytics Preparation - Datapot.vn</t>
  </si>
  <si>
    <t>CSQL</t>
  </si>
  <si>
    <t>Combo SQL: From Zero to Job-Ready</t>
  </si>
  <si>
    <t xml:space="preserve">Lộ trình giúp bạn thành thạo Microsoft SQL Server, từ truy vấn cơ bản đến nâng cao, đồng thời trang bị khả năng thiết kế và tối ưu cơ sở dữ liệu thông minh, củng cố năng lực chuyên môn để tự tin đảm nhiệm các vai trò như Data Analyst, Data Engineer hoặc DBA. </t>
  </si>
  <si>
    <t xml:space="preserve">- Viết và tối ưu truy vấn SQL: Truy vấn dữ liệu nhanh, chính xác, hiệu quả và biết cải thiện hiệu năng câu lệnh khi làm việc với dữ liệu lớn.
- Làm chủ T-SQL trên Microsoft SQL Server: Trang bị năng lực truy vấn và làm việc với cơ sở dữ liệu bằng SQL, đồng thời biết lựa chọn cách truy vấn phù hợp với từng tình huống thực tế.
- Hiểu và áp dụng: Nắm vững nguyên tắc của cơ sở dữ liệu quan hệ và ngôn ngữ SQL từ cơ bản đến nâng cao.
- Thiết kế và phát triển cấu trúc dữ liệu: Hiểu cách tổ chức dữ liệu phục vụ báo cáo và phân tích chuyên sâu; thiết kế và tùy chỉnh cơ sở dữ liệu trong môi trường SQL Server.
- Ứng dụng thực tế và mở rộng năng lực hệ thống: Vận dụng SQL vào bài toán doanh nghiệp từ phân tích dữ liệu đến xây dựng báo cáo BI.
</t>
  </si>
  <si>
    <t>- Ứng dụng thực tế và mở rộng năng lực hệ thống: Vận dụng SQL vào bài toán doanh nghiệp từ phân tích dữ liệu đến xây dựng báo cáo BI.
- Cá nhân muốn nâng cao kỹ năng T-SQL: Khai thác và phân tích dữ liệu hiệu quả, đồng thời định hướng theo lộ trình Data Engineer/DBA hoặc học chuyên sâu về SQL.
- Sinh viên: Muốn phát triển sự nghiệp trong ngành dữ liệu.</t>
  </si>
  <si>
    <t>1. Khóa DP-080 (T-SQL); 
2. Khóa Advanced Query with T-SQL</t>
  </si>
  <si>
    <t>Hiểu CSDL quan hệ; Sử dụng T-SQL thiết kế CSDL; Truy vấn nâng cao</t>
  </si>
  <si>
    <t>CSQL - Combo SQL: From Zero to Job-Ready - Datapot.vn</t>
  </si>
  <si>
    <t>DAFD</t>
  </si>
  <si>
    <t>Data Analytics Foundation</t>
  </si>
  <si>
    <t>Lộ trình hoàn hảo cho Fresher, cover kiến thức nền tảng về ngành dữ liệu và cách làm việc với bộ đôi công cụ SQL và Power BI trên môi trường Cloud</t>
  </si>
  <si>
    <t>52 giờ</t>
  </si>
  <si>
    <t>Freshers muốn làm Junior DA/BI; 
Sinh viên chuyên ngành BA/DA</t>
  </si>
  <si>
    <t>1. Module DP-900 (Azure Data); 
2. Module DP-080 (SQL); 
3. Module PL-300 (Power BI)</t>
  </si>
  <si>
    <t>Hiểu dữ liệu Cloud; Truy vấn SQL; Phân tích dữ liệu Power BI</t>
  </si>
  <si>
    <t>DAFD - Data Analytics Foundation - Datapot.vn</t>
  </si>
  <si>
    <t>DAFP</t>
  </si>
  <si>
    <t>Data Analytics Foundation Plus</t>
  </si>
  <si>
    <t>Lộ trình học phân tích dữ liệu sát với thực tế giúp sự nghiệp của bạn vươn xa.</t>
  </si>
  <si>
    <t>108 giờ ++</t>
  </si>
  <si>
    <t>- Nền tảng vững chắc: Lộ trình bài bản cho người mới bắt đầu.
- Trọn bộ kỹ năng: Nắm vững từ Toolset, Skillset đến Mindset.
- Thực chiến 100%: Giải quyết các bài toán dữ liệu thực tế của doanh nghiệp.
- Sẵn sàng sự nghiệp: Tự tin ứng tuyển DA/BI.</t>
  </si>
  <si>
    <t>- Sinh viên: Định hướng trở thành Data Analyst, Business Intelligence.
- Người chuyển ngành: Marketing, Tài chính, Sales, HR...
- Người đi làm: Cần ứng dụng SQL/Python/BI vào công việc.
- Quản lý &amp; Chủ doanh nghiệp: Muốn nâng cao tư duy Business &amp; xử lý dữ liệu thực chiến.</t>
  </si>
  <si>
    <t>1. Học phần I: DAFD; 
2. Học phần II: Python, ASQL, APBI; 
3. Học phần III: Preparation</t>
  </si>
  <si>
    <t>Thành thạo Azure-SQL-PowerBI; Kỹ năng Python; CV &amp; Mock Interview</t>
  </si>
  <si>
    <t>DAFP - Data Analytics Foundation Plus - Datapot.vn</t>
  </si>
  <si>
    <t>SPPT</t>
  </si>
  <si>
    <t>Storytelling with PowerPoint</t>
  </si>
  <si>
    <t>Cung cấp kỹ năng từ cơ bản đến nâng cao để sử dụng PowerPoint hiệu quả, từ nguyên tắc phối màu, bố cục đến nghệ thuật kể chuyện chuyên nghiệp bằng dữ liệu</t>
  </si>
  <si>
    <t>10 giờ học</t>
  </si>
  <si>
    <t>Nhân sự muốn tăng kỹ năng thuyết trình; 
Học sinh/Sinh viên muốn trang bị kỹ năng sử dụng PowerPoint và thuyết trình</t>
  </si>
  <si>
    <t>Quy trình thiết kế tổng thể; 
Nguyên tắc thiết kế (Ý tưởng, Màu sắc, Bố cục); 
Kỹ thuật trình bày (Bảng, Biểu đồ, Animation); 
Nghệ thuật Kể chuyện; 
Hoàn thiện &amp; Xuất file.</t>
  </si>
  <si>
    <t>Thiết kế slide chuyên nghiệp; nắm vững nguyên tắc phối màu &amp; bố cục; tối ưu Animation/Transition; kỹ thuật kể chuyện với chữ và icon.</t>
  </si>
  <si>
    <t>DAPP - Storytelling with PowerPoint - Datapot.vn</t>
  </si>
  <si>
    <t>DAPP</t>
  </si>
  <si>
    <t>DBAP</t>
  </si>
  <si>
    <t>Digital Business Analyst Program</t>
  </si>
  <si>
    <t>Chương trình giúp học viên trang bị những kỹ năng cần thiết để nâng cao lợi thế cạnh tranh và thay đổi tư duy đối với ngành BA trong thời đại số</t>
  </si>
  <si>
    <t>44 giờ</t>
  </si>
  <si>
    <t>Sinh viên kinh tế muốn làm Digital BA; PO/PM/BA Leader</t>
  </si>
  <si>
    <t>1. Module BAFU; 
2. Module BAED; 
3. Module CRBA</t>
  </si>
  <si>
    <t>Tư duy phản biện; Viết tài liệu BA; Kỹ năng BA thời đại số</t>
  </si>
  <si>
    <t>DBAP - Digital Business Analyst Program - Datapot.vn</t>
  </si>
  <si>
    <t>DP080</t>
  </si>
  <si>
    <t>DP-080</t>
  </si>
  <si>
    <t>Query and modify data with Transact-SQL</t>
  </si>
  <si>
    <t>Khóa học SQL giúp bạn nắm vững cú pháp truy vấn và tư duy xử lý dữ liệu, từ tổ chức, tích hợp đến khai thác thông tin để phân tích và dự báo, hỗ trợ ra quyết định chính xác và hiệu quả.</t>
  </si>
  <si>
    <t>- Hiểu và áp dụng: Các nguyên tắc cơ bản của cơ sở dữ liệu quan hệ và ngôn ngữ SQL.
- Viết và tối ưu câu lệnh SQL: Khai thác dữ liệu vào các bài toán thực tế trong doanh nghiệp nhanh, chính xác và hiệu quả.
- Thiết kế cấu trúc dữ liệu thông minh: Phục vụ cho báo cáo đa dạng ngành nghề về phân tích dữ liệu.
- Ứng dụng SQL trong bài toán thực tế: Từ phân tích dữ liệu cũng như là nền tảng xây dựng báo cáo BI.</t>
  </si>
  <si>
    <t>- Cá nhân: Muốn tìm hiểu về SQL để khai thác và phân tích dữ liệu hiệu quả.
- Chuyên viên làm việc với dữ liệu: Cần thực hiện phân tích, báo cáo, quản trị cơ sở dữ liệu.
- Sinh viên: Định hướng nghề nghiệp trong lĩnh vực Data Analytics hoặc Business Intelligence.
- Quản lý và chủ doanh nghiệp: Nâng cao năng lực ra quyết định và tối ưu hóa bộ máy vận hành.</t>
  </si>
  <si>
    <t>1. Khám phá SQL và cơ sở dữ liệu quan hệ.
2. Làm quen với các mệnh đề truy vấn cơ bản trong SQL.
3. Kết hợp dữ liệu từ nhiều bảng với Join và Union.
4. Thực hành Joins nâng cao, truy vấn con và bảng tạm.
5. Áp dụng hàm tổng hợp và câu lệnh logic để phân tích dữ liệu.
6. Tổng kết &amp; củng cố kiến thức qua thực hành bài tập.</t>
  </si>
  <si>
    <t>Hiểu CSDL quan hệ &amp; ngôn ngữ SQL; dùng T-SQL để thiết kế, tùy chỉnh, truy xuất dữ liệu; ứng dụng SQL trong phân tích BI và báo cáo.</t>
  </si>
  <si>
    <t>DP-080 - Querying Data with Microsoft T-SQL - Datapot.vn</t>
  </si>
  <si>
    <t>DP600</t>
  </si>
  <si>
    <t>DP-600</t>
  </si>
  <si>
    <t>Implementing Analytics Solutions Using Microsoft Fabric</t>
  </si>
  <si>
    <t>Hướng dẫn triển khai các giải pháp phân tích dữ liệu lớn (Data Platform) cho doanh nghiệp sử dụng nền tảng hiện đại Microsoft Fabric</t>
  </si>
  <si>
    <t>Fresher/ Junior/ Middle</t>
  </si>
  <si>
    <t>SQL cơ bản, Power BI cơ bản</t>
  </si>
  <si>
    <t>Hybrid</t>
  </si>
  <si>
    <t>32 giờ</t>
  </si>
  <si>
    <t>- Ứng dụng Microsoft Fabric: Triển khai giải pháp phân tích dữ liệu lớn (Data Platform) cho doanh nghiệp.
- Hiểu nguyên tắc: Vai trò Fabric trong vòng đời dự án và bức tranh "Data Platform" tổng thể.
- Phát triển tư duy: Thiết kế Lakehouse và Semantic Model Power BI quy mô lớn.
- Trải nghiệm thực hành: Thực hành trên môi trường Fabric Capacity được cung cấp sẵn.
- Trang bị kiến thức: Sẵn sàng cho kỳ thi DP-600 của Microsoft.</t>
  </si>
  <si>
    <t>Chuyên gia DE, DA, DBA muốn định hướng "Solution Architect"
Doanh nghiệp có kế hoạch chuyển đổi nền tảng dữ liệu qua Fabric</t>
  </si>
  <si>
    <t>1. Bắt đầu với Fabric
2. Fabric Lakehouse
3. Data Pipeline/Notebook
4. Kiến trúc Medallion
5. Data Warehouse
6. Semantic Model
7. Bảo mật/CI-CD</t>
  </si>
  <si>
    <t>Xây dựng Data Platform thực tế; 
Phân biệt Lakehouse/Warehouse; 
Triển khai Data Pipeline; 
Quy hoạch và tổ chức dữ liệu quy mô lớn</t>
  </si>
  <si>
    <t>DP-600: Implementing Analytics Solutions Using Microsoft Fabric - Datapot.vn</t>
  </si>
  <si>
    <t>DP900</t>
  </si>
  <si>
    <t>DP-900</t>
  </si>
  <si>
    <t>Microsoft Azure Data Fundamentals</t>
  </si>
  <si>
    <t xml:space="preserve">	
Trang bị những kiến thức nền tảng nhất về ngành dữ liệu, cách làm việc với dữ liệu quan hệ và phi quan hệ trên môi trường điện toán đám mây Azure</t>
  </si>
  <si>
    <t>- Ứng dụng dữ liệu đám mây: Cung cấp và truy vấn dữ liệu thông qua giải pháp Azure Cloud.
- Hiểu nguyên tắc: Khái niệm cốt lõi (Relational, Non-relational, Big Data, Analytics).
- Phát triển tư duy: Hiểu các vị trí, nhiệm vụ và trách nhiệm trong ngành dữ liệu.
- Trải nghiệm thực hành: Thực hành trực tiếp trên Azure Synapse, Data Factory và Power BI.</t>
  </si>
  <si>
    <t xml:space="preserve">Người chưa có kiến thức cơ bản về dữ liệu; 
Sinh viên muốn tìm hiểu ngành Data; </t>
  </si>
  <si>
    <t>1. Khái niệm dữ liệu cốt lõi; 
2. Dữ liệu quan hệ trong Azure; 
3. Dữ liệu không quan hệ trong Azure; 
4. Kho dữ liệu hiện đại (Modern Data Warehouse)</t>
  </si>
  <si>
    <t>Làm quen Microsoft Azure;
Biết cách triển khai và truy vấn CSDL qua Cloud; 
Tiếp cận Synapse Analytics và Databricks</t>
  </si>
  <si>
    <t>DP-900 - Azure Data Fundamentals - Datapot.vn</t>
  </si>
  <si>
    <t>EXDA</t>
  </si>
  <si>
    <t>Excel for Data Analytics</t>
  </si>
  <si>
    <t>Xây dựng "viên gạch đầu tiên" cho ngành Data Analytics thông qua việc nắm vững quy trình xử lý, làm sạch và phân tích dữ liệu trên Excel</t>
  </si>
  <si>
    <t>- Ứng dụng Excel: Xây dựng báo cáo tự động bằng Pivot Table và vẽ biểu đồ chuyên nghiệp.
- Hiểu nguyên tắc: Định dạng dữ liệu và quy tắc nhập liệu chuẩn trong Excel.
- Phát triển tư duy: Quy trình xử lý dữ liệu bài bản phục vụ hoạt động kinh doanh.
- Trải nghiệm thực hành: Thực hành các kỹ thuật làm sạch và tính toán thống kê thực tế.
- Trang bị kiến thức: Viên gạch đầu tiên cho lộ trình trở thành Data Analyst.</t>
  </si>
  <si>
    <t>Nhân sự các lĩnh vực muốn tăng hiệu suất;
Sinh viên chuẩn bị cho công việc; 
Người mới bắt đầu muốn làm quen Data qua công cụ gần gũi</t>
  </si>
  <si>
    <t>Giới thiệu &amp; Tổng quan; 
Định dạng &amp; Làm sạch dữ liệu; 
Xử lý dữ liệu (Hàm logic, Sắp xếp, Lọc); 
Báo cáo (Pivot Table, Consolidate, Subtotal, Biểu đồ).</t>
  </si>
  <si>
    <t>Nắm vững quy trình xử lý và phân tích dữ liệu trong Excel; viết hàm &amp; sử dụng tính năng Excel; làm sạch dữ liệu; tính toán thống kê &amp; xây dựng báo cáo.</t>
  </si>
  <si>
    <t>EXDA - Excel for Data Analytics - Datapot.vn</t>
  </si>
  <si>
    <t>EXCELDA</t>
  </si>
  <si>
    <t>EXQP</t>
  </si>
  <si>
    <t>Power Excel Mastery: Query &amp; Pivot Essentials</t>
  </si>
  <si>
    <t>Làm chủ Power Query và Power Pivot để tự động hóa quy trình làm sạch, mô hình hóa dữ liệu và xây dựng báo cáo động chuyên nghiệp ngay trên Excel</t>
  </si>
  <si>
    <t>Intermediate, Junior</t>
  </si>
  <si>
    <t>Thành thạo Excel cơ bản (Pivot Table/VLOOKUP)</t>
  </si>
  <si>
    <t>10-12 giờ</t>
  </si>
  <si>
    <t>- Ứng dụng Power Excel: Sử dụng Power Query và Power Pivot để xử lý dữ liệu lớn.
- Hiểu nguyên tắc: Tư duy BI (Fact – Dimension) trong mô hình hóa dữ liệu ngay trên Excel.
- Phát triển tư duy: Thiết kế quy trình ETL (Extract-Transform-Load) tự động hóa tối đa.
- Trải nghiệm thực hành: Xây dựng Dashboard động, trực quan qua Case study bán hàng/nhân sự.
- Trang bị kiến thức: Bước đệm chuyển tiếp lên công cụ chuyên sâu Power BI.</t>
  </si>
  <si>
    <t>- Nhân viên phân tích dữ liệu cần xử lý số lượng lớn dữ liệu.
- Nhân sự làm bán hàng, marketing, vận hành cần tổng hợp – báo cáo dữ liệu.
- Quản lý muốn tự xây hệ thống báo cáo tự động.
- Giảng viên, freelancer, data enthusiast muốn nâng cao kỹ năng Excel chuyên sâu.
- Người đã biết Excel cơ bản (VLOOKUP, PivotTable, công thức), muốn bước lên cấp độ chuyên gia Power Excel và có bước chuyển tiếp để học lên công cụ chuyên sâu Power BI.</t>
  </si>
  <si>
    <t>Tổng quan Query &amp; Pivot; 
Power Query (Kết nối, Làm sạch dữ liệu, Trộn Query); 
Power Pivot (Data Model, DAX cơ bản &amp; chuyên sâu); 
Case Study Dashboard kinh doanh.</t>
  </si>
  <si>
    <t>Làm chủ Power Query (tự động hóa làm sạch); xây dựng Data Model chuẩn Star schema; sử dụng Power Pivot &amp; DAX tạo KPIs; xây dựng dashboard động tự động cập nhật.</t>
  </si>
  <si>
    <t>EXQP-Power Excel Mastery: Query &amp; Pivot Essentials - Datapot.vn</t>
  </si>
  <si>
    <t>ISTT</t>
  </si>
  <si>
    <t>Instructional Skills for Tech Trainer</t>
  </si>
  <si>
    <t>Chia sẻ phương pháp đào tạo hiện đại hướng đến người học là trung tâm, giúp học viên thiết kế và triển khai các chương trình đào tạo công nghệ hiệu quả</t>
  </si>
  <si>
    <t>Online + Offline</t>
  </si>
  <si>
    <t>60 giờ</t>
  </si>
  <si>
    <t>- Thiết kế chương trình đào tạo: Xác định nhu cầu qua kỹ thuật TNA và xây dựng mục tiêu theo Bloom’s Taxonomy.
- Triển khai đào tạo hiện đại: Áp dụng phương pháp Andragogy (đào tạo người trưởng thành) và kỹ thuật tương tác.
- Ứng dụng công nghệ &amp; AI: Sử dụng AI Tools, Microsoft Teams để cá nhân hóa và tự động hóa quy trình dạy học.
- Đánh giá &amp; Cải tiến: Xây dựng rubric đánh giá, phân tích kết quả đào tạo và tối ưu hóa chất lượng giảng dạy.</t>
  </si>
  <si>
    <t>Chuyên gia công nghệ/chuyển đổi số; 
Giảng viên nội bộ doanh nghiệp; 
Ứng viên MCT hoặc Mentor cộng đồng; 
Chuyên viên L&amp;D</t>
  </si>
  <si>
    <t>Đào tạo người trưởng thành; 
Xác lập mục tiêu &amp; Kế hoạch (TNA); 
Xây dựng giáo trình; 
Triển khai hoạt động; 
Đánh giá kết quả; 
AI Tools; 
MS Teams; 
Quy định MCT; 
Project cuối khóa.</t>
  </si>
  <si>
    <t>Thiết kế chương trình (TNA, Bloom’s Taxonomy); 
triển khai đào tạo (Andragogy, công cụ MS); 
đánh giá &amp; cải tiến; 
kỹ năng giao tiếp tương tác người học.</t>
  </si>
  <si>
    <t>Instructional Skills for Tech Trainer - Datapot.vn</t>
  </si>
  <si>
    <t>MCEV</t>
  </si>
  <si>
    <t>Microsoft Certification Exam Voucher</t>
  </si>
  <si>
    <t>Cung cấp ưu đãi chi phí và hỗ trợ tư vấn đăng ký thi các chứng chỉ quốc tế của Microsoft để chứng minh năng lực chuyên môn</t>
  </si>
  <si>
    <t>N/A (Sản phẩm Voucher)</t>
  </si>
  <si>
    <t>Thí sinh muốn thi chứng chỉ Microsoft; 
Cần ưu đãi chi phí</t>
  </si>
  <si>
    <t>Chứng minh năng lực chuyên môn toàn cầu</t>
  </si>
  <si>
    <t>MCEV - Microsoft Certification Exam Voucher - Datapot.vn</t>
  </si>
  <si>
    <t>MS900</t>
  </si>
  <si>
    <t>MS-900</t>
  </si>
  <si>
    <t>Microsoft 365 Fundamentals</t>
  </si>
  <si>
    <t>Giới thiệu các kiến thức cơ bản về giải pháp Cloud Microsoft 365 nhằm tăng năng suất, bảo mật và tối ưu hóa quản lý vận hành doanh nghiệp</t>
  </si>
  <si>
    <t>8h</t>
  </si>
  <si>
    <t>- Nắm vững công nghệ Cloud: Hiểu rõ lợi ích của PaaS, SaaS, IaaS và giải pháp Cloud Microsoft 365.
- Tăng năng suất &amp; Hợp tác: Khai thác hiệu quả Outlook, OneDrive, Teams, Yammer và SharePoint trong doanh nghiệp.
- Quản lý bảo mật: Áp dụng mô hình Zero-Trust, xác thực đa yếu tố (MFA) và quản lý quyền truy cập.
- Tuân thủ &amp; Riêng tư: Sử dụng Microsoft Purview, Defender và giải pháp phòng chống thất thoát dữ liệu (DLP).</t>
  </si>
  <si>
    <t>Nhân sự IT, Tài chính, Marketing; 
Người muốn tìm hiểu về công nghệ Cloud; 
Người bắt đầu vai trò Cloud Solution Architecture/DA</t>
  </si>
  <si>
    <t>Cloud &amp; Lợi ích; Giải pháp năng suất (Outlook, OneDrive); 
Giải pháp hợp tác (Teams, SharePoint); 
Quản lý quyền (Zero-Trust, MFA); 
Giải pháp tin cậy &amp; tuân thủ.</t>
  </si>
  <si>
    <t>Kiến thức cốt lõi Cloud (PaaS, SaaS, IaaS); tư duy hệ thống &amp; thực hành công cụ báo cáo MS 365; đề xuất giải pháp cloud tối ưu cho doanh nghiệp.</t>
  </si>
  <si>
    <t>MS-900 - Microsoft 365 Fundamentals - Datapot.vn</t>
  </si>
  <si>
    <t>PL300</t>
  </si>
  <si>
    <t>PL-300</t>
  </si>
  <si>
    <t>Microsoft Power BI Data Analyst</t>
  </si>
  <si>
    <t>Khóa học chuẩn Microsoft giúp học viên xây dựng báo cáo để theo dõi thường xuyên những chỉ số kinh doanh quan trọng nhất, đồng thời phát triển tư duy phân tích dữ liệu và ứng dụng thực tế với những sản phẩm cụ thể.</t>
  </si>
  <si>
    <t>- Ứng dụng Power BI: Xây dựng các báo cáo chuyên biệt theo từng lĩnh vực như Tài chính – Kế toán, Marketing, Nhân sự,…
- Hiểu các nguyên tắc cơ bản khi sử dụng Power BI: Phục vụ trực quan hóa dữ liệu, truyền tải câu chuyện và đưa ra insights.
- Phát triển tư duy: Phân tích dữ liệu và giải quyết các bài toán thực tế trong doanh nghiệp.
- Trải nghiệm thực hành: Làm Project cá nhân từ dữ liệu thực tế hoặc mô phỏng.
- Trang bị kiến thức: Sẵn sàng cho kỳ thi chứng chỉ PL-300 của Microsoft.</t>
  </si>
  <si>
    <t>- Nhân sự đa lĩnh vực: Muốn tối ưu hiệu suất và tự động hóa báo cáo chuyên nghiệp.
- Sinh viên &amp; Người chuyển ngành: Trang bị kiến thức thực tế để gia nhập ngành dữ liệu.
- Quản lý &amp; Chủ doanh nghiệp: Muốn hiểu phương pháp đọc hiểu dữ liệu để chủ động trước rủi ro và ra quyết định kịp thời, chính xác.</t>
  </si>
  <si>
    <t>1. Làm quen với Phân tích dữ liệu và Power BI.
2. Kết nối các nguồn dữ liệu.
3. Làm sạch, biến đổi và tải dữ liệu.
4. Thiết kế mô hình dữ liệu.
5. Giới thiệu về ngôn ngữ DAX cơ bản.
6. Thực hành các hàm DAX nâng cao.
7. Ứng dụng các hàm DAX thường gặp và Row Context.
8. Tổng kết DAX và triển khai Dự án cuối khóa.
9. Xây dựng báo cáo trực quan trong Power BI.
10. Hiểu quy tắc thiết kế báo cáo và cấu hình nâng cao.
11. Trực quan hóa dữ liệu và review tiến độ dự án.
12. Vận dụng các kỹ thuật phân tích chuyên sâu với Power BI.
13. Quản lý và chia sẻ nội dung trên Power BI Service.
14. Phát triển tư duy hệ thống và Tổng kết khóa học.
15. Review 1-1 dự án cùng đội ngũ chuyên gia.
16. Thuyết trình dự án cuối khóa và chia sẻ kinh nghiệm thực tế.</t>
  </si>
  <si>
    <t>Nhập, làm sạch &amp; biến đổi dữ liệu; mô hình hóa dữ liệu hiệu suất cao; thiết kế báo cáo phân tích; phân tích nâng cao (AI Viz); quản lý &amp; bảo mật nội dung.</t>
  </si>
  <si>
    <t>PL-300 - Analyzing Data with Power BI - Datapot.vn</t>
  </si>
  <si>
    <t>DA-100</t>
  </si>
  <si>
    <t>PL7001</t>
  </si>
  <si>
    <t>PL-7001</t>
  </si>
  <si>
    <t>Create and Manage Canvas Apps with Power Apps</t>
  </si>
  <si>
    <t>Xây dựng tư duy và kỹ năng thiết kế, triển khai các ứng dụng low-code trên nền tảng Canvas App giúp tối ưu hóa quy trình doanh nghiệp nhanh chóng.</t>
  </si>
  <si>
    <t>- Phát triển ứng dụng: Thiết kế giao diện (UI), điều hướng và xử lý logic ứng dụng trên Power Apps.
- Quản trị dữ liệu đa nguồn: Kết nối và tối ưu hóa việc truy vấn, bảo mật dữ liệu từ Excel, SharePoint.
- Xử lý logic Power Fx: Vận dụng hàm nâng cao để xử lý logic nghiệp vụ trên ứng dụng.
- Phân quyền và Bảo mật: Kiểm soát truy cập và xử lý các vấn đề phân quyền, chia sẻ trong môi trường doanh nghiệp.</t>
  </si>
  <si>
    <t>Sinh viên muốn tạo app quản lý dữ liệu; 
Người đi làm cần giải quyết quy trình thủ công nhanh gọn; 
Doanh nghiệp muốn khai phá Power Platform</t>
  </si>
  <si>
    <t>- Thiết kế giải pháp: Phân tích yêu cầu, xây dựng giao diện, luồng xử lý để giải quyết đề bài.
- Kết nối dữ liệu và xử lý logic: Tích hợp đa nguồn (Excel, SharePoint), xử lý dữ liệu động, làm chủ hàm Power Fx từ cơ bản đến nâng cao.
- Quản trị nâng cao: Phân quyền, Debug, quản lý phiên bản và Custom Components.
- Thực chiến: Hoàn thiện dự án thực tế, trình bày sản phẩm.</t>
  </si>
  <si>
    <t>Tư duy logic &amp; giải quyết vấn đề; thiết kế UX/UI cho Canvas App; xây dựng app nhanh từ nhiều nguồn dữ liệu (Excel, SharePoint); quản lý dự án app.</t>
  </si>
  <si>
    <t>PL-7001 Create and manage canvas apps with Power Apps - Datapot.vn</t>
  </si>
  <si>
    <t>PL7002</t>
  </si>
  <si>
    <t>PL-7002</t>
  </si>
  <si>
    <t>Create and Manage Automated Processes by using Power Automate</t>
  </si>
  <si>
    <t>Cung cấp kiến thức tạo quy trình tự động hóa, giúp giảm tải tác vụ lặp lại và định hướng làm việc tinh gọn theo nguyên tắc LEAN.</t>
  </si>
  <si>
    <t>Yêu cầu kiến thức cơ bản về Power Apps</t>
  </si>
  <si>
    <t>- Chuẩn hóa quy trình: Thiết kế tự động hóa theo Best Practice trên Power Automate Cloud và Microsoft 365.
- Tự động hóa công việc hàng ngày: Tích hợp và khai thác tối đa hệ sinh thái Microsoft 365.
- Tích hợp AI: Sử dụng Power Automate Cloud với các mô hình AI để xử lý các bài toán đặc thù.
- Tối ưu vận hành: Quản lý và giám sát luồng tự động nhằm đảm bảo năng suất</t>
  </si>
  <si>
    <t>Nhân sự muốn giảm tác vụ lặp lại; 
Doanh nghiệp muốn tối ưu vận hành</t>
  </si>
  <si>
    <t>- Làm chủ Power Automate: Thiết kế và triển khai quy trình tự động hóa.
- Tích hợp Microsoft 365: Kết nối liền mạch Outlook, SharePoint, Teams và Excel để tối ưu hóa xử lý dữ liệu.
- Kỹ thuật chuyên sâu: Vận dụng API, tích hợp mô hình AI và các phương pháp xử lý lỗi, logging.
- Thực chiến: Hoàn thiện dự án thực tế, trình bày sản phẩm.</t>
  </si>
  <si>
    <t>Tư duy LEAN; bóc tách quy trình nghiệp vụ; làm chủ Power Automate Cloud &amp; Desktop; tích hợp AI Builder để bóc tách dữ liệu.</t>
  </si>
  <si>
    <t>PL-7002 Create and Manage Automated Processes By Using Power Automate - Datapot.vn</t>
  </si>
  <si>
    <t>PL7003</t>
  </si>
  <si>
    <t>PL-7003</t>
  </si>
  <si>
    <t>Create and Manage Model-Driven Apps with Power Apps and Dataverse</t>
  </si>
  <si>
    <t>Khóa học tiêu chuẩn của Microsoft cung cấp các phương pháp đa dạng để thiết kế một model-driven app tập trung vào việc tương tác với dữ liệu sử dụng Power Apps.  </t>
  </si>
  <si>
    <t>Yêu cầu kiến thức cơ bản về Power Apps, Power Automate</t>
  </si>
  <si>
    <t>PYDA</t>
  </si>
  <si>
    <t>Python for Data Analytics</t>
  </si>
  <si>
    <t>Khóa học cung cấp nền tảng Python cho phân tích dữ liệu, từ cú pháp cơ bản đến xử lý, trực quan hóa dữ liệu với Pandas, Numpy, Matplotlib, Seaborn, cùng ứng dụng Python để tự động hóa công việc hằng ngày.</t>
  </si>
  <si>
    <t>- Tư duy phân tích: Hiểu quy trình xử lý dữ liệu với Python và vai trò trong việc hỗ trợ ra quyết định.
- Lập trình Python: Nắm được kiến thức cơ bản của kiểu dữ liệu, hàm và cấu trúc điều khiển.
- Xử lý dữ liệu: Thực hành với thư viện Pandas và NumPy để làm sạch, biến đổi dữ liệu.
- Trực quan hóa: Chuyển đổi số liệu thành biểu đồ sinh động bằng Matplotlib và Seaborn.
- Tự động hóa: Ứng dụng Python để xuất báo cáo, tiết kiệm thời gian và công sức.
- Nền tảng nâng cao: Tạo tiền đề vững chắc để tiến sâu vào Data Science và Machine Learning.</t>
  </si>
  <si>
    <t>- Nhân sự đa lĩnh vực: Muốn học tư duy lập trình để ứng dụng vào nhiều lĩnh vực.
- Nhân sự muốn tự động hóa: Các tác vụ liên quan đến dữ liệu.
- Sinh viên/cá nhân muốn theo đuổi ngành dữ liệu: Tiền đề cho Machine Learning/AI.</t>
  </si>
  <si>
    <t>1. Khám phá Python và tổng quan khóa học.
2. Tìm hiểu các kiểu dữ liệu tiêu chuẩn trong Python.
3. Vận dụng các cấu trúc điều khiển trong Python.
4. Áp dụng mệnh đề logic và viết hàm trong Python.
5. Làm quen và thao tác dữ liệu với Pandas.
6. Tổng hợp và biến đổi dữ liệu nâng cao bằng Pandas.
7. Trực quan hóa dữ liệu bằng Matplotlib và Seaborn.
8. Khởi động với mô hình Machine Learning đơn giản.
9. Tự động hóa công việc với các công cụ hỗ trợ bằng Python.
10. Tổng hợp kiến thức.</t>
  </si>
  <si>
    <t>Nắm quy trình phân tích dữ liệu; hiểu Python cơ bản (hàm, cấu trúc dữ liệu); sử dụng Pandas xử lý/biến đổi dữ liệu; trực quan hóa (Matplotlib, Seaborn).</t>
  </si>
  <si>
    <t>PYDA - Python for Data Analytics - Datapot.vn</t>
  </si>
  <si>
    <t>Combo 4 in 1</t>
  </si>
  <si>
    <t>Lộ trình đào tạo bài bản, bám sát thực tiễn giúp học viên định hình tư duy và nắm vững kiến thức nền tảng về phân tích dữ liệu.</t>
  </si>
  <si>
    <t>72 giờ</t>
  </si>
  <si>
    <t>- Nền tảng công nghệ: Hiểu tổng quan ngành Data và làm quen với hệ sinh thái Cloud/Azure.
- Làm chủ công cụ: Thực hành các SQL, Power BI và Python trong phân tích dữ liệu.
- Tư duy thực chiến: Hình thành tư duy phân tích thông qua các dự án thực tế.
- Kỹ năng toàn diện: Nắm vững quy trình từ truy vấn, làm sạch đến trực quan hóa dữ liệu.</t>
  </si>
  <si>
    <t>Sinh viên: Định hướng trở thành Data Analyst, Business Intelligence.
Người chuyển ngành: Marketing, Tài chính, Kế toán, Sales, HR…
Người đi làm: Cần ứng dụng SQL/Python/BI vào công việc.
Quản lý &amp; Chủ doanh nghiệp: Muốn nâng cao tư duy Business &amp; xử lý dữ liệu thực chiến.</t>
  </si>
  <si>
    <t>DP900: Azure Data Fundamental
DP080: Querying Data with SQL
PL300: Analyzing Data with Power BI
PYDA: Python For Data Analytics</t>
  </si>
  <si>
    <t>DAF Advanced
Data Analytics Advanced</t>
  </si>
  <si>
    <t>Nâng tầm sự nghiệp với khóa học Data Analytics Advanced – nơi bạn chinh phục Python, T-SQL và Power BI chuyên sâu để tự tin giải quyết bài toán thực tế của doanh nghiệp.</t>
  </si>
  <si>
    <t>56 giờ</t>
  </si>
  <si>
    <t>- Nắm vững tư duy: Phân tích dữ liệu từ nền tảng đến nâng cao.
- Thực hành các công cụ Python, SQL và Power BI: Xử lý – mô hình hóa – trực quan hóa dữ liệu.
- Xây dựng năng lực giải quyết vấn đề: Dựa trên dữ liệu qua dự án thực tế.
- Tự tin đảm nhận vai trò DA/BI: Với bộ kỹ năng toàn diện.</t>
  </si>
  <si>
    <t>Người đã học nền tảng: Muốn nâng cấp kỹ năng chuyên sâu.
Nhân sự cần nâng cấp kỹ năng phân tích dữ liệu chuyên sâu cho công việc: Marketing, Finance, Sales,…
Sinh viên &amp; người chuyển ngành: Muốn có portfolio mạnh để ứng tuyển DA/BI.
Người đi làm: Muốn nâng cấp kỹ năng xử lý dữ liệu – báo cáo chuyên sâu – ra quyết định nhanh chóng.</t>
  </si>
  <si>
    <t xml:space="preserve">PYDA: Python For Data Analytics
ASQL: Advanced Query with T-SQL
APBI: Power BI Advanced Data Modeling and Visualization </t>
  </si>
  <si>
    <t>Combo Power BI</t>
  </si>
  <si>
    <t>Hai khóa - một hành trình: Làm chủ Power BI để phân tích thông minh và ra quyết định chính xác</t>
  </si>
  <si>
    <t>- Giúp học viên làm chủ Power BI: Kết nối, làm sạch, mô hình hóa, viết DAX, trực quan hóa và chia sẻ báo cáo.
- Xây dựng báo cáo: Với dashboard chuyên nghiệp, truyền tải insight rõ ràng.
- Nắm quy trình phân tích dữ liệu: Bám sát thực tế doanh nghiệp, ứng dụng ngay vào công việc.
- Phát triển tư duy phân tích: Thông qua hệ thống case study và project thực tế.</t>
  </si>
  <si>
    <t>- Người mới chuyển ngành: Cần làm báo cáo và phân tích dữ liệu bằng Power BI một cách nhanh, trực quan và hiệu quả.
- Nhân sự đa ngành: Muốn tối ưu quy trình và trực quan hóa dữ liệu bằng dashboard.
- Người đã có kiến thức về Power BI: Muốn nâng cao kỹ năng Modeling &amp; DAX.
- Sinh viên: Định hướng phát triển sự nghiệp trong lĩnh vực Data Analyst / Business Intelligence.</t>
  </si>
  <si>
    <t>PL-300: Microsoft Power BI Data Analyst
APBI: Power BI Advanced Data Modeling and Visualization</t>
  </si>
  <si>
    <t>Danh mục giá trị chuẩn</t>
  </si>
  <si>
    <t>GroupID</t>
  </si>
  <si>
    <t>Group</t>
  </si>
  <si>
    <t>Type</t>
  </si>
  <si>
    <t>Def</t>
  </si>
  <si>
    <t>Chứng nhận hoàn thành của Datapot</t>
  </si>
  <si>
    <t>Chứng nhận Achievement của Microsoft</t>
  </si>
  <si>
    <t>Cả hai loại chứng nhận: Dùng cho sản phẩm có cả 2 outcome</t>
  </si>
  <si>
    <t>Không cấp chứng nhận: Dùng khi sản phẩm không có chứng nhận</t>
  </si>
  <si>
    <t>Lộ trình (combo nhiều khóa theo hành trình)</t>
  </si>
  <si>
    <t>Khóa học</t>
  </si>
  <si>
    <t>Voucher: Mã/phiếu ưu đãi, không phải khóa học</t>
  </si>
  <si>
    <t>Đang bán / đang mở đăng ký: Hiển thị trên website &amp; cho phép đăng ký</t>
  </si>
  <si>
    <t>Tạm ngưng / không bán nữa: Không mở đăng ký mới</t>
  </si>
  <si>
    <t>Dự kiến triển khai, đang xây dựng &amp; chờ duyệt: Chưa public; dùng để chuẩn bị nội dung</t>
  </si>
  <si>
    <t>Khóa học theo giáo trình Microsoft: Thường có Ref nguồn Microsoft</t>
  </si>
  <si>
    <t>Khóa học/lộ trình customize bởi Datapot: Không phụ thuộc danh mục Microsoft</t>
  </si>
  <si>
    <t>Không phụ thuộc danh mục Microsoft: Combo/track có cả 2 phần</t>
  </si>
  <si>
    <t>Khóa Microsoft thuộc nhóm có exam/certification: Dùng khi Microsoft phân loại dạng exam/cert</t>
  </si>
  <si>
    <t>Khóa Microsoft thuộc nhóm kỹ năng thực hành (Applied Skills): Dùng khi Microsoft phân loại Applied Skills</t>
  </si>
  <si>
    <t>Khóa Microsoft nhưng không có thông tin credential: Dùng khi nguồn Microsoft không cung cấp/không áp dụng</t>
  </si>
  <si>
    <t>Không áp dụng vì là Datapot custom (hoặc Program cần đối chiếu theo từng course)
- Với Provider khác Microsoft: để NULL
- Với Program: đối chiếu credential theo từng course thành phần</t>
  </si>
  <si>
    <t>Q &amp; A</t>
  </si>
  <si>
    <t>Các vấn đề cần quan tâm khi xử lý các thông tin hiện có để cho ra được Master Product Catalog</t>
  </si>
  <si>
    <t>Question</t>
  </si>
  <si>
    <t>Details</t>
  </si>
  <si>
    <t>Questioner</t>
  </si>
  <si>
    <t>Question Date</t>
  </si>
  <si>
    <t>Answer</t>
  </si>
  <si>
    <t>Respondent</t>
  </si>
  <si>
    <t>Response date</t>
  </si>
  <si>
    <t>Cần làm gì với các alias?</t>
  </si>
  <si>
    <t>Alias trên website</t>
  </si>
  <si>
    <t>GiangPTT</t>
  </si>
  <si>
    <t>Check các variations của product trên woocommerce, các variations nào không đồng nhất thì chỉnh sửa, không dùng nữa thì xóa đi</t>
  </si>
  <si>
    <t>Cần làm gì với các Data issues?</t>
  </si>
  <si>
    <t>Thông tin chưa khớp trên website</t>
  </si>
  <si>
    <t>Cần rà soát lại danh sách lịch khai giảng, phần mô tả của từng khóa học/lộ trình, đảm bảo chỉ dùng product name theo chuẩn mới</t>
  </si>
  <si>
    <t>T00, T01 của Microsoft có ý nghĩa gì?</t>
  </si>
  <si>
    <t>+ T = Training
+ T00 = khóa học chuẩn
+ T01/T02 = nhiều module / nhiều phiên bản / nhiều phần của cùng một series
+ Dùng để phân biệt cấu trúc khóa học, chứ không phải cấp độ.
+ Các khóa hiện tại đang chạy hầu như đều là khóa chuẩn từ MS nên nếu thêm một loạt mã T00 thậm chí còn gây khó hiểu và khó nhớ
+ Nếu tương lai không quản lý các biến thể của 1 khóa học thì không cần dùng tới
+ Các khóa Applied Skills Assessment thì không có đuôi T00, T01</t>
  </si>
  <si>
    <t>Bỏ đuôi T00</t>
  </si>
  <si>
    <t>HoangTM</t>
  </si>
  <si>
    <t>Chứng nhận có cần product_code không?</t>
  </si>
  <si>
    <t>+ Hiện tại MS cũng không để product_code trên chứng nhận
+ Mẫu chứng nhận hiện tại của DTP cũng không để product_code ở phần tên khóa học, chỉ để product_code ở phần No
+ Một số hình ảnh truyền thông trên website vẫn đang để mẫu cũ</t>
  </si>
  <si>
    <t>Không giữ &gt;&gt; Cần đồng bộ hình ảnh truyền thông trên website</t>
  </si>
  <si>
    <t>PL300 hay PL-300</t>
  </si>
  <si>
    <r>
      <rPr>
        <sz val="11"/>
        <color rgb="FF000000"/>
        <rFont val="Aptos Narrow"/>
        <scheme val="minor"/>
      </rPr>
      <t xml:space="preserve">+ PL300 là product_code DTP đang dùng, đang xuất hiện trong mã lớp học
+ PL-300 là code mà MS đang dùng cho Course/Exam/Certified và DTP đang dùng để hiển thị tên khóa học trên website, ấn phẩm,...
</t>
    </r>
    <r>
      <rPr>
        <sz val="11"/>
        <color rgb="FFFF0000"/>
        <rFont val="Aptos Narrow"/>
        <scheme val="minor"/>
      </rPr>
      <t>&gt;&gt;&gt;&gt; Prefer
+ Nên giữ tư duy PL300 là prefix cho class_code, giữ nguyên trên product_code trong DB
+ Còn PL-300 là display_code dùng cho course, sẽ được đi cùng với En_Name</t>
    </r>
  </si>
  <si>
    <t>Approved.</t>
  </si>
  <si>
    <t>Exam/Certification và Applied Skills Assessment:
- Vai trò của 2 loại hình này là gì?
- Tại sao khóa học phục vụ cho exam/certification được đánh mã T00, T01 còn Applied Skills Assessment thì không?</t>
  </si>
  <si>
    <t>- Vai trò:
+ Exam/Cert = Xác thực kỹ năng nghề nghiệp (liên quan đến role và bao gồm nhiều kỹ năng), đánh giá dựa trên bài thi
+ Applied Skills = Xác thực 1 kỹ năng chuyên biệt, thông qua thực hành lab, không phải thi
- Đánh mã T00/T01&gt;&gt; Chỉ dành cho khóa học ILT chính thức (Microsoft Learn ILT Courseware), các khóa phân loại Applied Skills không phải khóa ILT</t>
  </si>
  <si>
    <t>Master list của mình nên mở rộng để lưu các thông tin này. Chưa cần update vào database.</t>
  </si>
  <si>
    <t>Có cần để thông tin T00, T01 ở cuối mỗi khóa học không?
- Nếu để thì phục vụ mục đích gì? Có gây khó hiểu và khó nhớ đối với học viên hiện tại, khách hàng tiềm năng và nội bộ hay không?
- Nếu không để thì có rủi ro gì lớn không? MS có chấp nhận việc không có đuôi T00, T01 không?</t>
  </si>
  <si>
    <r>
      <rPr>
        <sz val="11"/>
        <color rgb="FF000000"/>
        <rFont val="Aptos Narrow"/>
        <scheme val="minor"/>
      </rPr>
      <t xml:space="preserve">Thông tin: 
+ Khi nhắc đến PL-300 nói chung là đề cập đến khóa học/exam/certified
+ Còn nhắc đến PL-300T00 là đề cập đến khóa học, hỗ trợ ôn exam
+ Không có tài liệu nào yêu cầu Learning Partner phải dùng mã T00/T01 trên tiêu đề lớp học công khai.
</t>
    </r>
    <r>
      <rPr>
        <sz val="11"/>
        <color rgb="FFFF0000"/>
        <rFont val="Aptos Narrow"/>
        <scheme val="minor"/>
      </rPr>
      <t>&gt;&gt;&gt;
- Việc thêm đuôi T00/T01 vào các product_code hiện tại có thể gây khó hiểu, khó nhớ và kém thân thiện với người dùng. Vì vậy cách hiển thị lên website không nên thay đổi product_code
- Trong trường hợp vẫn cần lưu trữ thông tin để matching với khóa học của microsoft thì có thể thêm cột mã theo chuẩn MS để tham chiếu (Hiện tại trong DB đang có tham chiếu qua link MS learn)</t>
    </r>
  </si>
  <si>
    <t>Không cần thêm. Giữ code ngắn như hiện tại.</t>
  </si>
  <si>
    <t>Hiện tại tên các khóa học đang hiển thị trên website bị lệch so với courseware title plan mà MS cung cấp
- Có bắt buộc phải đổi theo tên mới nhất của MS không?</t>
  </si>
  <si>
    <r>
      <rPr>
        <sz val="11"/>
        <color rgb="FF000000"/>
        <rFont val="Aptos Narrow"/>
        <scheme val="minor"/>
      </rPr>
      <t xml:space="preserve">Inform: 
- Thông tin hiện tại đang sử dụng trên website của DTP đang khớp với exam name của MS và đang đồng bộ với cách gọi code của DTP hiện tại. </t>
    </r>
    <r>
      <rPr>
        <sz val="11"/>
        <color rgb="FFFF0000"/>
        <rFont val="Aptos Narrow"/>
        <scheme val="minor"/>
      </rPr>
      <t xml:space="preserve">Tức là cách sử dụng tên product hiện tại của DTP đang tương đồng với cách MS gọi &lt;exam_code&gt; &lt;exam_name&gt;
</t>
    </r>
    <r>
      <rPr>
        <sz val="11"/>
        <color rgb="FF000000"/>
        <rFont val="Aptos Narrow"/>
        <scheme val="minor"/>
      </rPr>
      <t xml:space="preserve">- Thông tin hiện tại không gây hiểu nhầm về nội dung hoặc credential mà học viên nhận được
- MS đang sử dụng tên không đồng nhất giữa ILT Courseware &amp; Exam name &amp; Certification
</t>
    </r>
    <r>
      <rPr>
        <sz val="11"/>
        <color rgb="FFFF0000"/>
        <rFont val="Aptos Narrow"/>
        <scheme val="minor"/>
      </rPr>
      <t>&gt;&gt;&gt; Prefer: 
Giữ cách gọi tên product hiện tại</t>
    </r>
  </si>
  <si>
    <t>Giữ tên hiện tại. Plan và follow up thay đổi của MS. Dự là sẽ đổi trong 2-4 tuần tới.
&gt;&gt;&gt; Đã thống nhất lại với anh HoangTM
+ với các khóa exam/certification: 
product_code = exam_code
product_title = exam_name
+ với các khóa applied skills: 
product_code = course_code
product_title = course_title</t>
  </si>
  <si>
    <t>Từ #9 - #22 là thông tin chi tiết cho #8
Các khóa mà DTP đang lệch tên so với MS</t>
  </si>
  <si>
    <t>DTP</t>
  </si>
  <si>
    <t>MS</t>
  </si>
  <si>
    <t>AI-900 – Microsoft Azure AI Fundamentals</t>
  </si>
  <si>
    <t>AI-900	&gt;&gt; Microsoft Azure AI Fundamentals	&gt;&gt; Microsoft Certified: Azure AI Fundamentals</t>
  </si>
  <si>
    <t>Thông tin đang chính xác</t>
  </si>
  <si>
    <t>DP-080 – Querying Data with Microsoft T-SQL</t>
  </si>
  <si>
    <r>
      <rPr>
        <sz val="11"/>
        <color rgb="FF000000"/>
        <rFont val="Aptos Narrow"/>
        <scheme val="minor"/>
      </rPr>
      <t xml:space="preserve">&lt;course_number&gt; &lt;course_name&gt;
DP-080T00: Query and modify data with Transact-SQL
</t>
    </r>
    <r>
      <rPr>
        <sz val="11"/>
        <color rgb="FFFF0000"/>
        <rFont val="Aptos Narrow"/>
        <scheme val="minor"/>
      </rPr>
      <t xml:space="preserve">Inform:
</t>
    </r>
    <r>
      <rPr>
        <sz val="11"/>
        <color rgb="FF000000"/>
        <rFont val="Aptos Narrow"/>
        <scheme val="minor"/>
      </rPr>
      <t>&lt;exam_number&gt; &lt;exam_name&gt;
N/A &gt;&gt; Không phân loại credential</t>
    </r>
  </si>
  <si>
    <t>Update theo MS</t>
  </si>
  <si>
    <t>DP-600: Implementing Analytics Solutions Using Microsoft Fabric</t>
  </si>
  <si>
    <r>
      <rPr>
        <sz val="11"/>
        <color rgb="FF000000"/>
        <rFont val="Aptos Narrow"/>
        <scheme val="minor"/>
      </rPr>
      <t xml:space="preserve">&lt;course_number&gt; &lt;course_name&gt;
DP-600T00: Microsoft Fabric Analytics Engineer
DP-601T00: Implement a Lakehouse with Microsoft Fabric
DP-602T00: Implement a Data Warehouse with Microsoft Fabric
DP-603T00: Implement Real-Time Intelligence with Microsoft Fabric
DP-604T00: Implement a data science and machine learning solution for AI with Microsoft Fabric
DP-605T00: Prepare and visualize data with Microsoft Power BI
</t>
    </r>
    <r>
      <rPr>
        <sz val="11"/>
        <color rgb="FFFF0000"/>
        <rFont val="Aptos Narrow"/>
        <scheme val="minor"/>
      </rPr>
      <t xml:space="preserve">Inform:
</t>
    </r>
    <r>
      <rPr>
        <sz val="11"/>
        <color rgb="FF000000"/>
        <rFont val="Aptos Narrow"/>
        <scheme val="minor"/>
      </rPr>
      <t>&lt;exam_number&gt; &lt;exam_name&gt; &lt;certification_name&gt;
DP-600 &gt;&gt; Implementing Analytics Solutions Using Microsoft Fabric &gt;&gt; Microsoft Certified: Fabric Analytics Engineer Associate</t>
    </r>
  </si>
  <si>
    <t>DP-900 – Azure Data Fundamentals</t>
  </si>
  <si>
    <r>
      <rPr>
        <sz val="11"/>
        <color rgb="FF000000"/>
        <rFont val="Aptos Narrow"/>
        <scheme val="minor"/>
      </rPr>
      <t xml:space="preserve">DP-900T00: Introduction to Microsoft Azure Data
</t>
    </r>
    <r>
      <rPr>
        <sz val="11"/>
        <color rgb="FFFF0000"/>
        <rFont val="Aptos Narrow"/>
        <scheme val="minor"/>
      </rPr>
      <t xml:space="preserve">Inform:
</t>
    </r>
    <r>
      <rPr>
        <sz val="11"/>
        <color rgb="FF000000"/>
        <rFont val="Aptos Narrow"/>
        <scheme val="minor"/>
      </rPr>
      <t>&lt;exam_number&gt; &lt;exam_name&gt; &lt;certification_name&gt;
DP-900 &gt;&gt; Microsoft Azure Data Fundamentals &gt;&gt; Microsoft Certified: Azure Data Fundamentals</t>
    </r>
  </si>
  <si>
    <t>MS-900 – Microsoft 365 Fundamentals</t>
  </si>
  <si>
    <r>
      <rPr>
        <sz val="11"/>
        <color rgb="FF000000"/>
        <rFont val="Aptos Narrow"/>
        <scheme val="minor"/>
      </rPr>
      <t xml:space="preserve">MS-900T01: Introduction to Microsoft 365
</t>
    </r>
    <r>
      <rPr>
        <sz val="11"/>
        <color rgb="FFFF0000"/>
        <rFont val="Aptos Narrow"/>
        <scheme val="minor"/>
      </rPr>
      <t xml:space="preserve">Inform:
</t>
    </r>
    <r>
      <rPr>
        <sz val="11"/>
        <color rgb="FF000000"/>
        <rFont val="Aptos Narrow"/>
        <scheme val="minor"/>
      </rPr>
      <t>&lt;exam_number&gt; &lt;exam_name&gt; &lt;certification_name&gt;
MS-900 &gt;&gt; Microsoft 365 Fundamentals &gt;&gt; Microsoft 365 Fundamentals</t>
    </r>
  </si>
  <si>
    <t>DTP đang dùng song song cả 2 cách gọi
(1) Trang chi tiết sản phẩm: PL-300 – Analyzing Data with Power BI
(2) Trang lịch khai giảng và các thông tin trên DB, chứng nhận: PL-300 – Microsoft Power BI Data Analyst</t>
  </si>
  <si>
    <r>
      <rPr>
        <sz val="11"/>
        <color rgb="FF000000"/>
        <rFont val="Aptos Narrow"/>
        <scheme val="minor"/>
      </rPr>
      <t xml:space="preserve">PL-300T00: Design and manage analytics solutions using Power BI
</t>
    </r>
    <r>
      <rPr>
        <sz val="11"/>
        <color rgb="FFFF0000"/>
        <rFont val="Aptos Narrow"/>
        <scheme val="minor"/>
      </rPr>
      <t xml:space="preserve">Inform:
</t>
    </r>
    <r>
      <rPr>
        <sz val="11"/>
        <color rgb="FF000000"/>
        <rFont val="Aptos Narrow"/>
        <scheme val="minor"/>
      </rPr>
      <t>&lt;exam_number&gt; &lt;exam_name&gt; &lt;certification_name&gt;
PL-300 &gt;&gt; Microsoft Power BI Data Analyst &gt;&gt; Microsoft Certified: Power BI Data Analyst Associate</t>
    </r>
  </si>
  <si>
    <t>PL-7001 – Create and manage canvas apps with Power Apps</t>
  </si>
  <si>
    <t>PL-7001: Create and Manage Canvas Apps with Power Apps
&gt;&gt;&gt; Khóa này chỉ lệch về cách viết hoa, không lệch về tên</t>
  </si>
  <si>
    <t>PL-7002 – Create and Manage Automated Processes By Using Power Automate</t>
  </si>
  <si>
    <t>PL-7002: Create and Manage Automated Processes by using Power Automate
&gt;&gt;&gt; Khóa này chỉ lệch về cách viết hoa, không lệch về tên</t>
  </si>
  <si>
    <t>Có thông tin trong DB nhưng không open trên web
PL-7003 – Create and manage model-driven apps with Power Apps and Dataverse</t>
  </si>
  <si>
    <t>PL-7003: Create and Manage Model-Driven Apps with Power Apps and Dataverse
&gt;&gt;&gt; Khóa này chỉ lệch về cách viết hoa, không lệch về tên</t>
  </si>
  <si>
    <t>Có thông tin trong DB nhưng không open trên web
PL900 – Microsoft Power Platform Fundamentals</t>
  </si>
  <si>
    <r>
      <rPr>
        <sz val="11"/>
        <color rgb="FF000000"/>
        <rFont val="Aptos Narrow"/>
        <scheme val="minor"/>
      </rPr>
      <t xml:space="preserve">PL-900T00: Introduction to Microsoft Power Platform
</t>
    </r>
    <r>
      <rPr>
        <sz val="11"/>
        <color rgb="FFFF0000"/>
        <rFont val="Aptos Narrow"/>
        <scheme val="minor"/>
      </rPr>
      <t xml:space="preserve">Inform:
</t>
    </r>
    <r>
      <rPr>
        <sz val="11"/>
        <color rgb="FF000000"/>
        <rFont val="Aptos Narrow"/>
        <scheme val="minor"/>
      </rPr>
      <t>&lt;exam_number&gt; &lt;exam_name&gt; &lt;certification_name&gt;
PL-900 &gt;&gt;	Microsoft Power Platform Fundamentals &gt;&gt; Microsoft Certified: Power Platform Fundamentals</t>
    </r>
  </si>
  <si>
    <t>Skip - Do chưa mở giai đoạn này.</t>
  </si>
  <si>
    <t>Khóa của DTP nhưng thông tin chưa đồng bộ trên website</t>
  </si>
  <si>
    <t>Trên trang chi tiết sản phẩm: PYDA – Python for Data Analytics
Trên trang lịch khai giảng: Python for Data
&gt;&gt; Điều chỉnh lại thông tin trên trang Lịch khai giảng</t>
  </si>
  <si>
    <t>Điều chỉnh trên lịch khai giảng</t>
  </si>
  <si>
    <t>Có cần thiết lập rule cho cách đặt product_code cho các product program/các khóa customize của DTP không?
- Nếu có, có thực hiện điều chỉnh cho các khóa đang lệch hiện tại không?
- Nếu không, khi hoạt động vẫn cần rule cho các product mới &gt;&gt; Có thể áp dụng từ nay trở về sau mà không làm ảnh hưởng đến các khóa đã có</t>
  </si>
  <si>
    <r>
      <rPr>
        <sz val="11"/>
        <color rgb="FF000000"/>
        <rFont val="Aptos Narrow"/>
        <scheme val="minor"/>
      </rPr>
      <t xml:space="preserve">- Hầu hết các product_code hiện tại đang dựa trên cách viết tắt của en_name, tuy nhiên có một vài khóa đang không tuân thủ chính xác rule này (VD: DAFD - Data Analytics Foundation; DAPP - Storytelling with PowerPoint)
- Nếu điều chỉnh thì phạm vi cần điều chỉnh lớn, ảnh hưởng đến các khóa đang chạy
</t>
    </r>
    <r>
      <rPr>
        <sz val="11"/>
        <color rgb="FFFF0000"/>
        <rFont val="Aptos Narrow"/>
        <scheme val="minor"/>
      </rPr>
      <t>&gt;&gt;&gt; Prefer
Giữ cách gọi product hiện tại, từ các khóa sau lưu ý cách đặt tên thống nhất cho product_code và en_name</t>
    </r>
  </si>
  <si>
    <t>Chốt được rule product_code &amp; display_code &amp; en_name &amp; vi_name</t>
  </si>
  <si>
    <t>Tháng này team ưu tiên xử lý product_code &amp; product_name không đồng nhất
Thứ nhất, ưu tiên thông tin lấy từ Microsoft
Thứ hai, các quy tắc cụ thể như sau
(1) Khóa học theo lộ trình của microsoft - phân loại: Credential = Exam/Certification (VD: PL-300T00)
- product_code: lấy theo display_code &amp; bỏ "-" (VD: PL300)
- display_code: lấy theo course_number của microsoft &amp; bỏ đuôi T00/T01/... (VD: PL-300)
- en_name: lấy theo exam_name
(2) Khóa học theo lộ trình của microsoft - phân loại: Credential = Applied Skills Assessment
- product_code: lấy theo display_code &amp; bỏ "-"
- display_code: dựa trên course_number của microsoft
- en_name: lấy theo course title của microsoft
(3) Khóa học theo lộ trình của microsoft - phân loại: Credential = N/A
- product_code: lấy theo display_code &amp; bỏ "-" (VD: DP080)
- display_code: lấy theo course_number của microsoft &amp; bỏ đuôi T00/T01/... (VD: DP-080)
- en_name: lấy theo exam_name
(4) Khóa học customize của DTP
- product_code: ký tự viết tắt đại diện cho en_name
- display_code: = product_code
- en_name: DTP tự đặt tên tiếng anh
Thứ ba, các thông tin liên quan đến product sẽ được theo dõi tập trung ở "Master Product Catalog"</t>
  </si>
  <si>
    <t>Chuẩn hóa lại thông tin trong master product catalog</t>
  </si>
  <si>
    <t>Solution Area</t>
  </si>
  <si>
    <t>Course Number</t>
  </si>
  <si>
    <t>Title</t>
  </si>
  <si>
    <t>Credential</t>
  </si>
  <si>
    <t>Detail Page Type</t>
  </si>
  <si>
    <t>Detail Page Url</t>
  </si>
  <si>
    <t>Partner Program Value</t>
  </si>
  <si>
    <t>Pub Type</t>
  </si>
  <si>
    <t>Scope</t>
  </si>
  <si>
    <t>Release Date</t>
  </si>
  <si>
    <t>Title Plan Note</t>
  </si>
  <si>
    <t>State</t>
  </si>
  <si>
    <t>Retire Date</t>
  </si>
  <si>
    <t>Course Contains</t>
  </si>
  <si>
    <t>Lab Hosting</t>
  </si>
  <si>
    <t>Business Applications</t>
  </si>
  <si>
    <t>AB-6002</t>
  </si>
  <si>
    <t>AB-6002: Introduction to finance in Dynamics 365</t>
  </si>
  <si>
    <t>1 day</t>
  </si>
  <si>
    <t>Course Detail Page</t>
  </si>
  <si>
    <t>https://learn.microsoft.com/training/courses/ab-6002</t>
  </si>
  <si>
    <t>New</t>
  </si>
  <si>
    <t xml:space="preserve">**New course release dates are subject to change. </t>
  </si>
  <si>
    <t>Under Development</t>
  </si>
  <si>
    <t>Interactive Labs;Interactive Simulations</t>
  </si>
  <si>
    <t>ALH</t>
  </si>
  <si>
    <t>AB-6004</t>
  </si>
  <si>
    <t>AB-6004: Introduction to service in Dynamics 365</t>
  </si>
  <si>
    <t>https://learn.microsoft.com/training/courses/ab-6004</t>
  </si>
  <si>
    <t>Modern Work</t>
  </si>
  <si>
    <t>AB-730T00</t>
  </si>
  <si>
    <t>AB-730T00: Transform business workflows with generative AI</t>
  </si>
  <si>
    <t>https://learn.microsoft.com/training/courses/ab-730t00</t>
  </si>
  <si>
    <t xml:space="preserve">This course has been released. </t>
  </si>
  <si>
    <t>Released</t>
  </si>
  <si>
    <t>Contains No Interactivity</t>
  </si>
  <si>
    <t>AB-731T00</t>
  </si>
  <si>
    <t>AB-731T00: Drive AI transformation in your organization</t>
  </si>
  <si>
    <t>https://learn.microsoft.com/training/courses/ab-731t00</t>
  </si>
  <si>
    <t>AB-900T00</t>
  </si>
  <si>
    <t>AB-900T00: Introduction to Microsoft 365 and AI administration</t>
  </si>
  <si>
    <t>https://learn.microsoft.com/training/courses/ab-900t00</t>
  </si>
  <si>
    <t>Data &amp; AI</t>
  </si>
  <si>
    <t>AI-102T00</t>
  </si>
  <si>
    <t>AI-102T00: Develop AI solutions in Azure</t>
  </si>
  <si>
    <t>5 day</t>
  </si>
  <si>
    <t>https://learn.microsoft.com/training/courses/ai-102t00</t>
  </si>
  <si>
    <t>Update</t>
  </si>
  <si>
    <t>Minor</t>
  </si>
  <si>
    <t xml:space="preserve">10/17/25 Minor Update: Minimal impact to content. </t>
  </si>
  <si>
    <t>Interactive Labs</t>
  </si>
  <si>
    <t>AI-3002</t>
  </si>
  <si>
    <t>AI-3002: Develop AI information extraction solutions in Azure</t>
  </si>
  <si>
    <t>https://learn.microsoft.com/training/courses/ai-3002</t>
  </si>
  <si>
    <t>Major</t>
  </si>
  <si>
    <t>6/13 Major update: Title change: "Develop AI information extraction solutions in Azure." Expanding the scope of this course to include Azure AI Content Understanding and Azure AI Search. Assessment retires 6/20. ILT course will remain as 1-day standalone.</t>
  </si>
  <si>
    <t>AI-3003</t>
  </si>
  <si>
    <t>AI-3003: Develop natural language solutions in Azure​</t>
  </si>
  <si>
    <t>Learning Path Detail Page</t>
  </si>
  <si>
    <t>https://learn.microsoft.com/training/paths/develop-language-solutions-azure-ai/</t>
  </si>
  <si>
    <t>6/13 Major update: Expanding generative AI for speech-enabled models and real-time speech agents since we know customers and partners are now using these technologies to develop solutions. Title change: Develop natural language solutions in Azure​</t>
  </si>
  <si>
    <t>AI-3004</t>
  </si>
  <si>
    <t>AI-3004: Develop computer vision solutions in Azure</t>
  </si>
  <si>
    <t>https://learn.microsoft.com/training/paths/create-computer-vision-solutions-azure-ai/</t>
  </si>
  <si>
    <t>6/13 Major update: Will be expanding it to include generative AI for vision and image generation since these are increasingly common ways for developers to build computer vision solutions.</t>
  </si>
  <si>
    <t>AI-3016</t>
  </si>
  <si>
    <t>AI-3016: Develop generative AI apps in Azure</t>
  </si>
  <si>
    <t>https://learn.microsoft.com/training/paths/create-custom-copilots-ai-studio/</t>
  </si>
  <si>
    <t>8/29/25 Minor update: Updates to reflect latest AI services changes and new agent capabilities.</t>
  </si>
  <si>
    <t>AI-3017</t>
  </si>
  <si>
    <t>AI-3017: AI for business leaders</t>
  </si>
  <si>
    <t>3 hour</t>
  </si>
  <si>
    <t>https://learn.microsoft.com/training/courses/ai-3017</t>
  </si>
  <si>
    <t>8/8/25 Major update: Addition of PPT slides for nonprofit LP and minor title change (removing Microsoft from title)</t>
  </si>
  <si>
    <t>AI-3019</t>
  </si>
  <si>
    <t>AI-3019: Build AI Apps with Azure Database for PostgreSQL</t>
  </si>
  <si>
    <t>https://learn.microsoft.com/training/paths/build-ai-apps-azure-database-postgresql/</t>
  </si>
  <si>
    <t>Course has been released.</t>
  </si>
  <si>
    <t>AI-3022</t>
  </si>
  <si>
    <t>AI-3022: Implement knowledge mining with Azure AI Search</t>
  </si>
  <si>
    <t>https://learn.microsoft.com/training/paths/implement-knowledge-mining-azure-cognitive-search/</t>
  </si>
  <si>
    <t xml:space="preserve">Course has been released. </t>
  </si>
  <si>
    <t>Learn and ALH</t>
  </si>
  <si>
    <t>AI-3024</t>
  </si>
  <si>
    <t>AI-3024: Design a dream destination with AI</t>
  </si>
  <si>
    <t>https://learn.microsoft.com/training/courses/ai-3024</t>
  </si>
  <si>
    <t>AI-3025</t>
  </si>
  <si>
    <t>AI-3025: Work smarter with AI</t>
  </si>
  <si>
    <t>https://learn.microsoft.com/training/courses/ai-3025</t>
  </si>
  <si>
    <t xml:space="preserve">1/17 Minor Update: Very minor Copilot logo update in slides. No content changes. PLEASE NOTE: This is a 1-2 hour activity based course. </t>
  </si>
  <si>
    <t>AI-3026</t>
  </si>
  <si>
    <t>AI-3026: Develop AI agents on Azure</t>
  </si>
  <si>
    <t>https://learn.microsoft.com/training/courses/ai-3026</t>
  </si>
  <si>
    <t>ALH;BYOS</t>
  </si>
  <si>
    <t>AI-900T00</t>
  </si>
  <si>
    <t>AI-900T00: Introduction to AI in Azure</t>
  </si>
  <si>
    <t>https://learn.microsoft.com/training/courses/ai-900t00</t>
  </si>
  <si>
    <t>12/5/25 Minor update: Minimal impact to content.</t>
  </si>
  <si>
    <t>Infrastructure</t>
  </si>
  <si>
    <t>AZ-040T00</t>
  </si>
  <si>
    <t>AZ-040T00: Automating Administration with PowerShell</t>
  </si>
  <si>
    <t>https://learn.microsoft.com/training/courses/az-040t00</t>
  </si>
  <si>
    <t>12/5/25 Major update: Title changing to Automate Administration with PowerShell</t>
  </si>
  <si>
    <t>AZ-1002</t>
  </si>
  <si>
    <t>AZ-1002: Configure secure access to your workloads using networking with Azure Virtual Network</t>
  </si>
  <si>
    <t>https://learn.microsoft.com/training/paths/configure-secure-workloads-using-azure-virtual-networking/</t>
  </si>
  <si>
    <t>11/22 Minor update: Minimal impact to content.</t>
  </si>
  <si>
    <t>AZ-1003</t>
  </si>
  <si>
    <t>AZ-1003: Secure storage for Azure Files and Azure Blob Storage</t>
  </si>
  <si>
    <t>https://learn.microsoft.com/training/paths/implement-storage-azure-files-azure-blob-storage/</t>
  </si>
  <si>
    <t>AZ-1004</t>
  </si>
  <si>
    <t>AZ-1004: Deploy and configure Azure Monitor</t>
  </si>
  <si>
    <t>https://learn.microsoft.com/training/paths/deploy-configure-azure-monitor/</t>
  </si>
  <si>
    <t xml:space="preserve">10/31/25 Minor update: Removing Azure Monitor Change Analysis which is being retired. </t>
  </si>
  <si>
    <t>AZ-1006</t>
  </si>
  <si>
    <t>AZ-1006: Migrate and Modernize SAP in the Microsoft Cloud</t>
  </si>
  <si>
    <t>https://learn.microsoft.com/training/courses/az-1006</t>
  </si>
  <si>
    <t>This course will retire 11/28/2025.</t>
  </si>
  <si>
    <t>AZ-1007</t>
  </si>
  <si>
    <t>AZ-1007: Deploy and administer Linux virtual machines on Azure </t>
  </si>
  <si>
    <t>https://learn.microsoft.com/training/courses/az-1007</t>
  </si>
  <si>
    <t>5/16 Minor update: Removal of references to Applied Skills in trainer files and Title Plan. Assessment will retire on 5/15, and course will remain as a 1-day standalone ILT.</t>
  </si>
  <si>
    <t>AZ-1008</t>
  </si>
  <si>
    <t>AZ-1008: Administer Active Directory Domain Services</t>
  </si>
  <si>
    <t>https://learn.microsoft.com/training/paths/administer-active-directory-domain-services/</t>
  </si>
  <si>
    <t>AZ-1010</t>
  </si>
  <si>
    <t>AZ-1010: Deploy and manage Azure Arc-enabled Servers</t>
  </si>
  <si>
    <t>https://learn.microsoft.com/training/paths/deploy-manage-azure-arc-enabled-servers/</t>
  </si>
  <si>
    <t>6/13 Minor update: Minimal PPT updates.</t>
  </si>
  <si>
    <t>BYOS</t>
  </si>
  <si>
    <t>AZ-104T00</t>
  </si>
  <si>
    <t>AZ-104T00: Microsoft Azure Administrator</t>
  </si>
  <si>
    <t>4 day</t>
  </si>
  <si>
    <t>https://learn.microsoft.com/training/courses/az-104t00</t>
  </si>
  <si>
    <t xml:space="preserve">11/14/25 Minor Update: Minimal impact to content. </t>
  </si>
  <si>
    <t>AZ-120T00</t>
  </si>
  <si>
    <t>AZ-120T00: Planning and Deploying SAP on Azure</t>
  </si>
  <si>
    <t>3 day</t>
  </si>
  <si>
    <t>https://learn.microsoft.com/training/courses/az-120t00</t>
  </si>
  <si>
    <t xml:space="preserve">8/9 Major update: Module has been added. Please see updated change log for more information. </t>
  </si>
  <si>
    <t>AZ-140T00</t>
  </si>
  <si>
    <t>AZ-140T00: Configure and Operate Microsoft Azure Virtual Desktop</t>
  </si>
  <si>
    <t>https://learn.microsoft.com/training/courses/az-140t00</t>
  </si>
  <si>
    <t>**6/6 Major update: Updating 5 units, PPTs, and Instructor Guide. Title changing to: "Configure and Operate Microsoft Azure Virtual Desktop"</t>
  </si>
  <si>
    <t>Digital and App Innovation</t>
  </si>
  <si>
    <t>AZ-2001</t>
  </si>
  <si>
    <t>AZ-2001: Implement security through a pipeline using Azure DevOps</t>
  </si>
  <si>
    <t>https://learn.microsoft.com/training/paths/implement-security-through-pipeline-using-devops/</t>
  </si>
  <si>
    <t xml:space="preserve">11/14/25 Major update was cancelled. </t>
  </si>
  <si>
    <t>AZ-2002</t>
  </si>
  <si>
    <t>AZ-2002: Develop an ASP.NET Core web app that consumes an API</t>
  </si>
  <si>
    <t>https://learn.microsoft.com/training/paths/develop-asp-core-api/</t>
  </si>
  <si>
    <t>1/17 Major update: including updates to the base project, learn material, slides, and labs.</t>
  </si>
  <si>
    <t>AZ-2003</t>
  </si>
  <si>
    <t>AZ-2003: Deploy cloud-native apps using Azure Container Apps</t>
  </si>
  <si>
    <t>https://learn.microsoft.com/training/paths/deploy-cloud-native-applications-to-azure-container-apps/</t>
  </si>
  <si>
    <t>AZ-2005</t>
  </si>
  <si>
    <t>AZ-2005: Develop Generative AI solutions using Azure OpenAI and the Semantic Kernel SDK</t>
  </si>
  <si>
    <t>https://learn.microsoft.com/training/paths/develop-ai-agents-azure-open-ai-semantic-kernel-sdk/</t>
  </si>
  <si>
    <t xml:space="preserve">9/12 Minor update: Minimal impact to content. </t>
  </si>
  <si>
    <t>AZ-2006</t>
  </si>
  <si>
    <t>AZ-2006: Automate Azure Load Testing by using GitHub Actions</t>
  </si>
  <si>
    <t>https://learn.microsoft.com/training/paths/automate-azure-load-testing-github/</t>
  </si>
  <si>
    <t>6/27 Minor update: Bug fixes.</t>
  </si>
  <si>
    <t>AZ-2007</t>
  </si>
  <si>
    <t>AZ-2007: Accelerate app development by using GitHub Copilot</t>
  </si>
  <si>
    <t>https://learn.microsoft.com/training/paths/accelerate-app-development-using-github-copilot/</t>
  </si>
  <si>
    <t>1/30/26 Minor Update: Lab environment will be updated to include Python support alongside C#, giving learners more flexibility in how they complete the labs.</t>
  </si>
  <si>
    <t>AZ-2008</t>
  </si>
  <si>
    <t>AZ-2008: DevOps Foundations: The Core Principles and Practices</t>
  </si>
  <si>
    <t>https://learn.microsoft.com/training/courses/az-2008</t>
  </si>
  <si>
    <t>11/14/25 Major update: Consolidating all related DevOps course labs into a single central repository.</t>
  </si>
  <si>
    <t>AZ-2010</t>
  </si>
  <si>
    <t>AZ-2010: Design and Implement Platform Engineering</t>
  </si>
  <si>
    <t>https://learn.microsoft.com/training/courses/az-2010</t>
  </si>
  <si>
    <t>11/14/25 Major update: Consolidating all related DevOps course labs into a single central repository. Title change:  "Design and Implement Platform Engineering"</t>
  </si>
  <si>
    <t>AZ-204T00</t>
  </si>
  <si>
    <t>AZ-204T00: Develop Solutions for Microsoft Azure</t>
  </si>
  <si>
    <t>https://learn.microsoft.com/training/courses/az-204t00</t>
  </si>
  <si>
    <t xml:space="preserve">8/1/25 Major update: Significant changes to labs, and a new/different repository for where the labs will exist for maintenance. </t>
  </si>
  <si>
    <t>AZ-305T00</t>
  </si>
  <si>
    <t>AZ-305T00: Design Microsoft Azure Infrastructure Solutions</t>
  </si>
  <si>
    <t>https://learn.microsoft.com/training/courses/az-305t00</t>
  </si>
  <si>
    <t>AZ-400T00</t>
  </si>
  <si>
    <t>AZ-400T00: Design and Implement Microsoft DevOps solutions</t>
  </si>
  <si>
    <t>https://learn.microsoft.com/training/courses/az-400t00</t>
  </si>
  <si>
    <t>11/14/25 Major update: Consolidating all related DevOps course labs into a single central repository.  September JTA Refresh updates. Title change: "Design and Implement Microsoft DevOps solutions"</t>
  </si>
  <si>
    <t>Security</t>
  </si>
  <si>
    <t>AZ-500T00</t>
  </si>
  <si>
    <t>AZ-500T00: Secure cloud resources with Microsoft security technologies</t>
  </si>
  <si>
    <t>https://learn.microsoft.com/training/courses/az-500t00</t>
  </si>
  <si>
    <t>10/31/25 Major update: Title changing to Secure cloud resources with Microsoft security technologies; Minor bug fixes in content.</t>
  </si>
  <si>
    <t>AZ-700T00</t>
  </si>
  <si>
    <t>AZ-700T00: Design and Implement Microsoft Azure Network Solutions</t>
  </si>
  <si>
    <t>https://learn.microsoft.com/training/courses/az-700t00</t>
  </si>
  <si>
    <t>8/8/25 Major update: Title change: "Design and Implement Microsoft Azure Networking Solutions"</t>
  </si>
  <si>
    <t>AZ-800T00</t>
  </si>
  <si>
    <t>AZ-800T00: Administer Windows Server Hybrid Core Infrastructure</t>
  </si>
  <si>
    <t>https://learn.microsoft.com/training/courses/az-800t00</t>
  </si>
  <si>
    <t>5/23 Major update: JTA refresh. Title changing to: "Administer Windows Server Hybrid Core Infrastructure"</t>
  </si>
  <si>
    <t>AZ-801T00</t>
  </si>
  <si>
    <t>AZ-801T00: Configure Windows Server Hybrid Advanced Services</t>
  </si>
  <si>
    <t>https://learn.microsoft.com/training/courses/az-801t00</t>
  </si>
  <si>
    <t>6/13 Major update: JTA refresh. New exam goes live 6/6.  Title changing to: "Configure Windows Server Hybrid Advanced Services"</t>
  </si>
  <si>
    <t>AZ-900T00</t>
  </si>
  <si>
    <t>AZ-900T00: Introduction to Cloud Infrastructure</t>
  </si>
  <si>
    <t>https://learn.microsoft.com/training/courses/az-900t00</t>
  </si>
  <si>
    <t>10/31/25 Major update: Title changing to Introduction to Cloud Infrastructure. No other content changes.</t>
  </si>
  <si>
    <t>Learn</t>
  </si>
  <si>
    <t>DP-080T00</t>
  </si>
  <si>
    <t>DP-080T00: Query and modify data with Transact-SQL</t>
  </si>
  <si>
    <t>2 day</t>
  </si>
  <si>
    <t>https://learn.microsoft.com/training/courses/dp-080t00</t>
  </si>
  <si>
    <t>8/29/25 Major update: Title change: "Query and modify data with Transact-SQL"</t>
  </si>
  <si>
    <t>DP-100T01</t>
  </si>
  <si>
    <t>DP-100T01: Designing and implementing a data science solution on Azure</t>
  </si>
  <si>
    <t>https://learn.microsoft.com/training/courses/dp-100t01</t>
  </si>
  <si>
    <t>1/24 Major update: Current content will be consolidated into first three days and new content will be added on generative AI for fourth day.</t>
  </si>
  <si>
    <t>DP-203T00</t>
  </si>
  <si>
    <t>DP-203T00: Data Engineering on Microsoft Azure</t>
  </si>
  <si>
    <t>https://learn.microsoft.com/training/courses/dp-203t00</t>
  </si>
  <si>
    <t>PLEASE NOTE: Course will now be retiring on 12/31/25. Course replacement: DP-700</t>
  </si>
  <si>
    <t>DP-3001</t>
  </si>
  <si>
    <t>DP-3001: Migrate SQL Server workload to Azure SQL</t>
  </si>
  <si>
    <t>https://learn.microsoft.com/training/paths/migrate-sql-workloads-azure/</t>
  </si>
  <si>
    <t>10/10/25 Minor update: Minimal impact to content.</t>
  </si>
  <si>
    <t>DP-300T00</t>
  </si>
  <si>
    <t>DP-300T00: Implement scalable database solutions using Azure SQL</t>
  </si>
  <si>
    <t>https://learn.microsoft.com/training/courses/dp-300t00</t>
  </si>
  <si>
    <t>8/29/25 Major update: Title change: "Implement scalable database solutions using Azure SQL"</t>
  </si>
  <si>
    <t>DP-3011</t>
  </si>
  <si>
    <t>DP-3011: Implement a Data Analytics Solution with Azure Databricks</t>
  </si>
  <si>
    <t>https://learn.microsoft.com/training/courses/dp-3011</t>
  </si>
  <si>
    <t>10/3/25 Major Update: Content refresh + Minor title change: Implement a Data Analytics Solution with Azure Databricks</t>
  </si>
  <si>
    <t>DP-3014</t>
  </si>
  <si>
    <t>DP-3014: Build machine learning solutions using Azure Databricks</t>
  </si>
  <si>
    <t>https://learn.microsoft.com/training/courses/dp-3014</t>
  </si>
  <si>
    <t>8/29/25 Major update: Title change: "Build machine learning solutions using Azure Databricks"</t>
  </si>
  <si>
    <t>DP-3015</t>
  </si>
  <si>
    <t>DP-3015: Getting Started with Cosmos DB NoSQL Development</t>
  </si>
  <si>
    <t>https://learn.microsoft.com/training/courses/dp-3015</t>
  </si>
  <si>
    <t xml:space="preserve">11/21/25 Major update: Title changing to Get started with Azure Cosmos DB NoSQL development; no other content updates. </t>
  </si>
  <si>
    <t>DP-3020</t>
  </si>
  <si>
    <t>DP-3020: Develop data-driven applications with Azure SQL Database</t>
  </si>
  <si>
    <t>https://learn.microsoft.com/training/paths/develop-data-driven-app-sql-db/</t>
  </si>
  <si>
    <t>DP-3021</t>
  </si>
  <si>
    <t>DP-3021: Configure and migrate to Azure Database for PostgreSQL</t>
  </si>
  <si>
    <t>https://learn.microsoft.com/training/paths/microsoft-learn-azure-database-for-postgresql/</t>
  </si>
  <si>
    <t>DP-3028</t>
  </si>
  <si>
    <t>DP-3028: Implement Generative AI engineering with Azure Databricks</t>
  </si>
  <si>
    <t>https://learn.microsoft.com/training/courses/dp-3028</t>
  </si>
  <si>
    <t>DP-3029</t>
  </si>
  <si>
    <t>DP-3029: Work smarter with Copilot in Microsoft Fabric</t>
  </si>
  <si>
    <t>https://learn.microsoft.com/training/courses/dp-3029</t>
  </si>
  <si>
    <t>11/21/25 Minor update: Minimal impact to content.</t>
  </si>
  <si>
    <t>DP-420T00</t>
  </si>
  <si>
    <t>DP-420T00: Designing and Implementing Cloud-Native Applications Using Microsoft Azure Cosmos DB</t>
  </si>
  <si>
    <t>https://learn.microsoft.com/training/courses/dp-420t00</t>
  </si>
  <si>
    <t xml:space="preserve">11/21/25 Major update: Title changing to Design and implement cloud-native applications with Microsoft Azure Cosmos DB; no other content updates. </t>
  </si>
  <si>
    <t>DP-600T00</t>
  </si>
  <si>
    <t>DP-600T00: Microsoft Fabric Analytics Engineer</t>
  </si>
  <si>
    <t>https://learn.microsoft.com/training/courses/dp-600t00</t>
  </si>
  <si>
    <t xml:space="preserve">11/22 Major update: to align with exam updates. </t>
  </si>
  <si>
    <t>DP-601T00</t>
  </si>
  <si>
    <t>DP-601T00: Implement a Lakehouse with Microsoft Fabric</t>
  </si>
  <si>
    <t>https://learn.microsoft.com/training/paths/implement-lakehouse-microsoft-fabric/</t>
  </si>
  <si>
    <t>2/7 Major update: Product updates with screenshots and some additional functionality will be added.</t>
  </si>
  <si>
    <t>DP-602T00</t>
  </si>
  <si>
    <t>DP-602T00: Implement a Data Warehouse with Microsoft Fabric</t>
  </si>
  <si>
    <t>https://learn.microsoft.com/training/paths/work-with-data-warehouses-using-microsoft-fabric/</t>
  </si>
  <si>
    <t>1/31 Minor update: Minimal impact to ILT content.</t>
  </si>
  <si>
    <t>DP-603T00</t>
  </si>
  <si>
    <t>DP-603T00: Implement Real-Time Intelligence with Microsoft Fabric</t>
  </si>
  <si>
    <t>https://learn.microsoft.com/training/paths/explore-real-time-analytics-microsoft-fabric/</t>
  </si>
  <si>
    <t>12/5/25 Major update: Introducing a new module focused on using Activator in Microsoft Fabric, along with refreshed language across all existing modules to better reflect current features and functionality.</t>
  </si>
  <si>
    <t>DP-604T00</t>
  </si>
  <si>
    <t>DP-604T00: Implement a data science and machine learning solution for AI with Microsoft Fabric</t>
  </si>
  <si>
    <t>https://learn.microsoft.com/training/paths/implement-data-science-machine-learning-fabric/</t>
  </si>
  <si>
    <t>1/31 Minor update: Adding introductory Fabric slides.</t>
  </si>
  <si>
    <t>DP-605T00</t>
  </si>
  <si>
    <t>DP-605T00: Prepare and visualize data with Microsoft Power BI</t>
  </si>
  <si>
    <t>https://learn.microsoft.com/training/courses/dp-605t00</t>
  </si>
  <si>
    <t xml:space="preserve">10/3/25 Major update: Content will be updated based on the recent updates for PL-300, which includes updated slides with no changes to the course outline. </t>
  </si>
  <si>
    <t>DP-700T00</t>
  </si>
  <si>
    <t>DP-700T00: Microsoft Fabric Data Engineer</t>
  </si>
  <si>
    <t>https://learn.microsoft.com/training/courses/dp-700t00</t>
  </si>
  <si>
    <t xml:space="preserve">12/12/25 Major update: Title changing to Implement data engineering solutions using Microsoft Fabric; minor bug fixes in slides. </t>
  </si>
  <si>
    <t>DP-900T00</t>
  </si>
  <si>
    <t>DP-900T00: Introduction to Microsoft Azure Data</t>
  </si>
  <si>
    <t>https://learn.microsoft.com/training/courses/dp-900t00</t>
  </si>
  <si>
    <t xml:space="preserve">6/27 Major update: Title change: "Introduction to Microsoft Azure Data" </t>
  </si>
  <si>
    <t>GH-100T00</t>
  </si>
  <si>
    <t>GH-100T00: GitHub fundamentals - Administration basics and product features</t>
  </si>
  <si>
    <t>https://learn.microsoft.com/training/courses/gh-100t00</t>
  </si>
  <si>
    <t>GH-200T00</t>
  </si>
  <si>
    <t>GH-200T00: Automate your workflow with GitHub Actions</t>
  </si>
  <si>
    <t>https://learn.microsoft.com/training/courses/gh-200t00</t>
  </si>
  <si>
    <t xml:space="preserve">Course release dates are subject to change. </t>
  </si>
  <si>
    <t>GH-300T00</t>
  </si>
  <si>
    <t>GH-300T00: GitHub Copilot</t>
  </si>
  <si>
    <t>https://learn.microsoft.com/training/courses/gh-300t00</t>
  </si>
  <si>
    <t>6/27 Minor update: PPTX grammar and formatting. Instructor guide reference to recent cert page.</t>
  </si>
  <si>
    <t>GH-500T00</t>
  </si>
  <si>
    <t>GH-500T00: GitHub Advanced Security</t>
  </si>
  <si>
    <t>https://learn.microsoft.com/training/courses/gh-500t00</t>
  </si>
  <si>
    <t>Interactive Guides</t>
  </si>
  <si>
    <t>GH-900T00</t>
  </si>
  <si>
    <t>GH-900T00: GitHub Foundations</t>
  </si>
  <si>
    <t>https://learn.microsoft.com/training/courses/gh-900t00</t>
  </si>
  <si>
    <t>8/29/25 Major update: Course duration change to 2-days.</t>
  </si>
  <si>
    <t>MB-230T01</t>
  </si>
  <si>
    <t>MB-230T01: Microsoft Dynamics 365 Customer Service</t>
  </si>
  <si>
    <t>https://learn.microsoft.com/training/courses/mb-230t01</t>
  </si>
  <si>
    <t>3/15 Minor update: Course content/labs not impacted.</t>
  </si>
  <si>
    <t>MB-240T00</t>
  </si>
  <si>
    <t>MB-240T00: Microsoft Dynamics 365 Field Service</t>
  </si>
  <si>
    <t>https://learn.microsoft.com/training/courses/mb-240t00</t>
  </si>
  <si>
    <t>2/16 Major update: Full lab updates, please check change log when published.</t>
  </si>
  <si>
    <t>MB-280T01</t>
  </si>
  <si>
    <t xml:space="preserve">MB-280T01: Configure Dynamics 365 customer experience model-driven apps </t>
  </si>
  <si>
    <t>https://learn.microsoft.com/training/courses/mb-280t01</t>
  </si>
  <si>
    <t>9/19/25 Major update: Copilot and agents will be embedded into existing modules—e.g., sales qualification agent in lead management.</t>
  </si>
  <si>
    <t>MB-280T02</t>
  </si>
  <si>
    <t xml:space="preserve">MB-280T02: Empower sellers with Dynamics 365 Sales </t>
  </si>
  <si>
    <t>https://learn.microsoft.com/training/courses/mb-280t02</t>
  </si>
  <si>
    <t>MB-280T03</t>
  </si>
  <si>
    <t>MB-280T03: Design and deliver powerful customer experiences with Dynamics 365 Customer Insights</t>
  </si>
  <si>
    <t>https://learn.microsoft.com/training/courses/mb-280t03</t>
  </si>
  <si>
    <t>MB-280T04</t>
  </si>
  <si>
    <t>MB-280T04: Configure a Dynamics 365 customer experience solution</t>
  </si>
  <si>
    <t>https://learn.microsoft.com/training/courses/mb-280t04</t>
  </si>
  <si>
    <t>MB-310T00</t>
  </si>
  <si>
    <t>MB-310T00: Manage Financial Operations with Dynamics 365 Finance</t>
  </si>
  <si>
    <t>https://learn.microsoft.com/training/courses/mb-310t00</t>
  </si>
  <si>
    <t>8/8/25 Minor update: Update to broken video links.</t>
  </si>
  <si>
    <t>MB-330T00</t>
  </si>
  <si>
    <t>MB-330T00: Conceptualize Supply Chain Management in Microsoft Dynamics 365</t>
  </si>
  <si>
    <t>https://learn.microsoft.com/training/courses/mb-330t00</t>
  </si>
  <si>
    <t>6/27 Major update: Refreshing existing modules in this course post JTA skills-based analysis to reflect system UI feature/functionality changes; Lab instructions inclusive of updates. There are no updates to the development of Skillable labs.</t>
  </si>
  <si>
    <t>MB-335T00</t>
  </si>
  <si>
    <t>MB-335T00: Augment advance level Supply Chain Management solutions with Microsoft Dynamics 365</t>
  </si>
  <si>
    <t>https://learn.microsoft.com/training/courses/mb-335t00</t>
  </si>
  <si>
    <t>6/27 Major update: Refreshing modules post JTA skills-based analysis to reflect system UI feature/functionality changes. Title change: "Augment advance level Supply Chain Management solutions with Microsoft Dynamics 365"</t>
  </si>
  <si>
    <t>MB-500T00</t>
  </si>
  <si>
    <t>MB-500T00: Microsoft Dynamics 365: Finance and Operations Apps Developer</t>
  </si>
  <si>
    <t>https://learn.microsoft.com/training/courses/mb-500t00</t>
  </si>
  <si>
    <t>1/30/26 Major update: Title changing to Develop Finance and Operations Apps with Dynamics 365, details on content updates to follow.</t>
  </si>
  <si>
    <t>MB-7005</t>
  </si>
  <si>
    <t>MB-7005: Create and manage journeys with Dynamics 365 Customer Insights</t>
  </si>
  <si>
    <t>https://learn.microsoft.com/training/courses/mb-7005</t>
  </si>
  <si>
    <t>MB-7006</t>
  </si>
  <si>
    <t>MB-7006: Create and manage segments in Dynamics 365 Customer Insights – Data</t>
  </si>
  <si>
    <t>https://learn.microsoft.com/training/courses/mb-7006</t>
  </si>
  <si>
    <t>MB-700T00</t>
  </si>
  <si>
    <t>MB-700T00: Microsoft Dynamics 365: Finance and Operations Apps Solution Architect</t>
  </si>
  <si>
    <t>https://learn.microsoft.com/training/courses/mb-700t00</t>
  </si>
  <si>
    <t>9/6 Minor update: Remove retiring module</t>
  </si>
  <si>
    <t>MB-800T00</t>
  </si>
  <si>
    <t>MB-800T00: Manage business solutions with Microsoft Dynamics 365 Business Central</t>
  </si>
  <si>
    <t>https://learn.microsoft.com/training/courses/mb-800t00</t>
  </si>
  <si>
    <t>8/29/25 Major update: 4 new units and 1 LP rename. Title change: "Manage business solutions with Microsoft Dynamics 365 Business Central"</t>
  </si>
  <si>
    <t>MB-820T00</t>
  </si>
  <si>
    <t>MB-820T00: Dynamics 365 Business Central Developer</t>
  </si>
  <si>
    <t>https://learn.microsoft.com/training/courses/mb-820t00</t>
  </si>
  <si>
    <t xml:space="preserve">11/21/25 Major update: Title changing to: Develop solutions with Dynamics 365 Business Central. No other content updates. </t>
  </si>
  <si>
    <t>MB-910T00</t>
  </si>
  <si>
    <t>MB-910T00: Introduction to Microsoft Dynamics 365 (CRM)</t>
  </si>
  <si>
    <t>https://learn.microsoft.com/training/courses/mb-910t00</t>
  </si>
  <si>
    <t>Course will be retiring on 12/31/25.</t>
  </si>
  <si>
    <t>Interactive Simulations</t>
  </si>
  <si>
    <t>MB-920T00</t>
  </si>
  <si>
    <t>MB-920T00: Introduction to Microsoft Dynamics 365 (ERP)</t>
  </si>
  <si>
    <t>https://learn.microsoft.com/training/courses/mb-920t00</t>
  </si>
  <si>
    <t>MD-102T00</t>
  </si>
  <si>
    <t>MD-102T00: Microsoft 365 Endpoint Administrator</t>
  </si>
  <si>
    <t>https://learn.microsoft.com/training/courses/md-102t00</t>
  </si>
  <si>
    <t xml:space="preserve">9/27 Major update: Full JTA refresh. Please ensure Trainers download all updated materials before future deliveries. </t>
  </si>
  <si>
    <t>MD-4011</t>
  </si>
  <si>
    <t>MD-4011: Enhance Endpoint Security with Microsoft Intune and Microsoft Copilot for Security</t>
  </si>
  <si>
    <t>https://learn.microsoft.com/training/courses/md-4011</t>
  </si>
  <si>
    <t>7/19 Major update: Please download the updated course PPTs for future deliveries. The version released prior to July 5 had upload issues.</t>
  </si>
  <si>
    <t>MS-102T00</t>
  </si>
  <si>
    <t>MS-102T00: Microsoft 365 Administrator</t>
  </si>
  <si>
    <t>https://learn.microsoft.com/training/courses/ms-102t00</t>
  </si>
  <si>
    <t>12/20 Minor update: Minor feature updates.</t>
  </si>
  <si>
    <t>MS-4002</t>
  </si>
  <si>
    <t>MS-4002: Prepare security and compliance to support Microsoft 365 Copilot</t>
  </si>
  <si>
    <t>https://learn.microsoft.com/training/paths/prepare-security-compliance-support-microsoft-365-copilot/</t>
  </si>
  <si>
    <t>2/7 Minor update: to fix broken link in TPG</t>
  </si>
  <si>
    <t>MS-4004</t>
  </si>
  <si>
    <t>MS-4004: Empower your workforce with Microsoft 365 Copilot Use Cases</t>
  </si>
  <si>
    <t>https://learn.microsoft.com/training/courses/ms-4004</t>
  </si>
  <si>
    <t xml:space="preserve">7/3 Minor update: Reflect recent Copilot product and UI changes. </t>
  </si>
  <si>
    <t>MS-4007</t>
  </si>
  <si>
    <t>MS-4007: Microsoft 365 Copilot User Enablement Specialist</t>
  </si>
  <si>
    <t>https://learn.microsoft.com/training/courses/ms-4007</t>
  </si>
  <si>
    <t>3/21 Minor update: Minimal impact to ILT content.</t>
  </si>
  <si>
    <t>MS-4008</t>
  </si>
  <si>
    <t>MS-4008: Microsoft 365 Copilot Interactive Experience for Executives</t>
  </si>
  <si>
    <t>1 hour</t>
  </si>
  <si>
    <t>https://learn.microsoft.com/training/courses/ms-4008</t>
  </si>
  <si>
    <t>This course will retire 12/31/25.</t>
  </si>
  <si>
    <t>MS-4010</t>
  </si>
  <si>
    <t>MS-4010: Extend Microsoft 365 Copilot with declarative agents by using Visual Studio Code</t>
  </si>
  <si>
    <t>https://learn.microsoft.com/training/paths/build-plugins-connectors-microsoft-copilot-microsoft-365/</t>
  </si>
  <si>
    <t>11/7/25 Major update: Content will be expanded to cover the full Microsoft 365 Copilot connector lifecycle, from foundational concepts to advanced deployment and operations.</t>
  </si>
  <si>
    <t>MS-4012</t>
  </si>
  <si>
    <t>MS-4012: Microsoft 365 Copilot Chat Interactive Experience for Executives</t>
  </si>
  <si>
    <t>https://learn.microsoft.com/training/courses/ms-4012</t>
  </si>
  <si>
    <t>MS-4014</t>
  </si>
  <si>
    <t>MS-4014: Build a foundation to build AI agents and extend Microsoft 365 Copilot</t>
  </si>
  <si>
    <t>4 hour</t>
  </si>
  <si>
    <t>https://learn.microsoft.com/training/courses/ms-4014</t>
  </si>
  <si>
    <t>8/22/25 Minor Update: Corrected minimal errors in TPG documentation.</t>
  </si>
  <si>
    <t>MS-4015</t>
  </si>
  <si>
    <t>MS-4015: Build custom engine agents with the Microsoft 365 Agents SDK</t>
  </si>
  <si>
    <t>https://learn.microsoft.com/training/courses/ms-4015</t>
  </si>
  <si>
    <t>10/31/25 Major update: Course will now reflect the Microsoft 365 Agents SDK, with continued focus on testing and deploying agents to Teams. Title change: Build custom agents with the Microsoft 365 Agents SDK.</t>
  </si>
  <si>
    <t>MS-4017</t>
  </si>
  <si>
    <t>MS-4017: Manage and extend Microsoft 365 Copilot</t>
  </si>
  <si>
    <t>https://learn.microsoft.com/training/courses/MS-4017</t>
  </si>
  <si>
    <t xml:space="preserve">5/16 Minor update: Minimal impact to ILT content. </t>
  </si>
  <si>
    <t>MS-4018</t>
  </si>
  <si>
    <t>MS-4018: Draft, analyze, and present with Microsoft 365 Copilot</t>
  </si>
  <si>
    <t>https://learn.microsoft.com/training/courses/ms-4018</t>
  </si>
  <si>
    <t xml:space="preserve">4/11 Minor update: No impact to ILT content. </t>
  </si>
  <si>
    <t>MS-4019</t>
  </si>
  <si>
    <t>MS-4019: Transform your everyday business processes with agents</t>
  </si>
  <si>
    <t>https://learn.microsoft.com/training/courses/ms-4019</t>
  </si>
  <si>
    <t xml:space="preserve">11/7 Minor update: Removed unit on Visual Creator agent. Fixed an issue with the lab in module 3. </t>
  </si>
  <si>
    <t>MS-4021</t>
  </si>
  <si>
    <t>MS-4021: Copilot Immersion Experience</t>
  </si>
  <si>
    <t>2 hour</t>
  </si>
  <si>
    <t>https://learn.microsoft.com/training/courses/ms-4021</t>
  </si>
  <si>
    <t>9/26/25 Major update: New Agent content tailored to Executive and Business User audiences, separated into two decks: Agents for Executives and Agents for Business Users. Minor bug fixes.</t>
  </si>
  <si>
    <t>MS-4022</t>
  </si>
  <si>
    <t>MS-4022: Extend Microsoft 365 Copilot in Copilot Studio</t>
  </si>
  <si>
    <t>https://learn.microsoft.com/training/courses/ms-4022</t>
  </si>
  <si>
    <t>8/22/25 Minor update: Content refresh due to UI changes.</t>
  </si>
  <si>
    <t>MS-4023</t>
  </si>
  <si>
    <t>MS-4023: Explore Microsoft 365 Copilot Chat</t>
  </si>
  <si>
    <t>https://learn.microsoft.com/training/courses/ms-4023</t>
  </si>
  <si>
    <t xml:space="preserve">8/22/25 Major update: Net new module on "Explore Copilot Notebooks" with supporting slides. </t>
  </si>
  <si>
    <t>MS-700T00</t>
  </si>
  <si>
    <t>MS-700T00: Managing Microsoft Teams</t>
  </si>
  <si>
    <t>https://learn.microsoft.com/training/courses/ms-700t00</t>
  </si>
  <si>
    <t xml:space="preserve">12/19/25 Major update: Title changing to Manage Microsoft Teams; no other content updates. </t>
  </si>
  <si>
    <t>MS-721T00</t>
  </si>
  <si>
    <t>MS-721T00: Plan, configure, and manage collaboration communications systems with Microsoft Teams</t>
  </si>
  <si>
    <t>https://learn.microsoft.com/training/courses/ms-721t00</t>
  </si>
  <si>
    <t xml:space="preserve">10/10/25 Major update: Removing lab tasks that are no longer executable due to a new verification requirement in the Teams Admin center when ordering phone numbers. </t>
  </si>
  <si>
    <t>MS-900T01</t>
  </si>
  <si>
    <t>MS-900T01: Introduction to Microsoft 365</t>
  </si>
  <si>
    <t>https://learn.microsoft.com/training/courses/ms-900t01</t>
  </si>
  <si>
    <t>PL-200T00</t>
  </si>
  <si>
    <t>PL-200T00: Microsoft Power Platform Functional Consultant</t>
  </si>
  <si>
    <t>https://learn.microsoft.com/training/courses/pl-200t00</t>
  </si>
  <si>
    <t>4/4 Minor update: 1 learning path title in TPG and Educator Teaching guide + change log entry.</t>
  </si>
  <si>
    <t>PL-300T00</t>
  </si>
  <si>
    <t>PL-300T00: Design and manage analytics solutions using Power BI</t>
  </si>
  <si>
    <t>https://learn.microsoft.com/training/courses/pl-300t00</t>
  </si>
  <si>
    <t>6/27 Major update:  The course is being updated and consolidated across Microsoft Learn, courseware, and labs to provide a streamlined user experience.   Title changing to: "Design and manage analytics solutions using Power BI"</t>
  </si>
  <si>
    <t>PL-400T00</t>
  </si>
  <si>
    <t>PL-400T00: Microsoft Power Platform Developer</t>
  </si>
  <si>
    <t>https://learn.microsoft.com/training/courses/pl-400t00</t>
  </si>
  <si>
    <t xml:space="preserve">8/16 Minor update: Azure passes removed. </t>
  </si>
  <si>
    <t>PL-500T00</t>
  </si>
  <si>
    <t>PL-500T00: Microsoft Power Automate RPA Developer</t>
  </si>
  <si>
    <t>https://learn.microsoft.com/training/courses/pl-500t00</t>
  </si>
  <si>
    <t>8/23 Minor update: This course no longer requires an Azure Pass.</t>
  </si>
  <si>
    <t>PL-600T00</t>
  </si>
  <si>
    <t>PL-600T00: Microsoft Power Platform Solution Architect</t>
  </si>
  <si>
    <t>https://learn.microsoft.com/training/courses/pl-600t00</t>
  </si>
  <si>
    <t xml:space="preserve">8/30 Minor update: Minimal impact to ILT content. </t>
  </si>
  <si>
    <t>PL-7001: Create and Manage Canvas Apps with Power Apps</t>
  </si>
  <si>
    <t>https://learn.microsoft.com/training/paths/create-manage-canvas-apps-power-apps/</t>
  </si>
  <si>
    <t>10/3/25 Minor update: Minimal impact to ILT content.</t>
  </si>
  <si>
    <t>PL-7002: Create and Manage Automated Processes by using Power Automate</t>
  </si>
  <si>
    <t>https://learn.microsoft.com/training/paths/create-manage-automated-processes-by-using-power-automate/</t>
  </si>
  <si>
    <t>PL-7003: Create and Manage Model-Driven Apps with Power Apps and Dataverse</t>
  </si>
  <si>
    <t>https://learn.microsoft.com/training/paths/create-manage-model-driven-apps/</t>
  </si>
  <si>
    <t>PL-7008</t>
  </si>
  <si>
    <t>PL-7008: Create agents in Microsoft Copilot Studio</t>
  </si>
  <si>
    <t>https://learn.microsoft.com/training/paths/create-extend-custom-copilots-microsoft-copilot-studio/</t>
  </si>
  <si>
    <t xml:space="preserve">7/11 Minor update: Fix branding discrepancy. </t>
  </si>
  <si>
    <t>PL-900T00</t>
  </si>
  <si>
    <t>PL-900T00: Introduction to Microsoft Power Platform</t>
  </si>
  <si>
    <t>https://learn.microsoft.com/training/courses/pl-900t00</t>
  </si>
  <si>
    <t>11/14/25 Minor update: Minimal impact to content.</t>
  </si>
  <si>
    <t>SC-100T00</t>
  </si>
  <si>
    <t>SC-100T00: Microsoft Cybersecurity Architect</t>
  </si>
  <si>
    <t>https://learn.microsoft.com/training/courses/sc-100t00</t>
  </si>
  <si>
    <t>8/29/25 Major update: Replacing the case study modules with new/updated case studies.</t>
  </si>
  <si>
    <t>SC-200T00</t>
  </si>
  <si>
    <t>SC-200T00: Microsoft Security Operations Analyst</t>
  </si>
  <si>
    <t>https://learn.microsoft.com/training/courses/sc-200t00</t>
  </si>
  <si>
    <t>12/19/25 Major update: New lab will be added -- Lab 06</t>
  </si>
  <si>
    <t>SC-300T00</t>
  </si>
  <si>
    <t>SC-300T00: Microsoft Identity and Access Administrator</t>
  </si>
  <si>
    <t>https://learn.microsoft.com/training/courses/sc-300t00</t>
  </si>
  <si>
    <t xml:space="preserve">8/22/25 Minor update: Minimal impact to ILT content. </t>
  </si>
  <si>
    <t>SC-401T00</t>
  </si>
  <si>
    <t>SC-401T00: Information Security Administrator</t>
  </si>
  <si>
    <t>https://learn.microsoft.com/training/courses/sc-401t00</t>
  </si>
  <si>
    <t>12/12/25 Major update: Rearranging learning paths and labs and adding content on Communication Compliance to the Audit and search activity in Microsoft Purview deck.</t>
  </si>
  <si>
    <t>SC-5001</t>
  </si>
  <si>
    <t>SC-5001: Configure SIEM security operations using Microsoft Sentinel</t>
  </si>
  <si>
    <t>https://learn.microsoft.com/training/courses/sc-5001</t>
  </si>
  <si>
    <t>SC-5002</t>
  </si>
  <si>
    <t>SC-5002: Secure Azure services and workloads with Microsoft Defender for Cloud regulatory compliance controls</t>
  </si>
  <si>
    <t>https://learn.microsoft.com/training/paths/secure-azure-services-workloads-defender-cloud/</t>
  </si>
  <si>
    <t xml:space="preserve">11/8 Minor update: Minimal impact to ILT content. </t>
  </si>
  <si>
    <t>SC-5003</t>
  </si>
  <si>
    <t>SC-5003: Implement information protection and data loss prevention by using Microsoft Purview</t>
  </si>
  <si>
    <t>https://learn.microsoft.com/training/paths/purview-implement-information-protection-data-loss-prevention</t>
  </si>
  <si>
    <t xml:space="preserve">10/18 Minor update: Minimal impact to ILT content. </t>
  </si>
  <si>
    <t>SC-5004</t>
  </si>
  <si>
    <t>SC-5004: Defend against cyberthreats with Microsoft Defender XDR</t>
  </si>
  <si>
    <t>https://learn.microsoft.com/training/paths/sc-5004-defend-against-cyberthreats-defender/</t>
  </si>
  <si>
    <t>SC-5006</t>
  </si>
  <si>
    <t>SC-5006: Enhance security operations by using Microsoft Security Copilot</t>
  </si>
  <si>
    <t>https://learn.microsoft.com/training/courses/sc-5006</t>
  </si>
  <si>
    <t xml:space="preserve">5/23 Minor update: Updates to reflect new features/functionality/simulations that are used in the lab-like exercises in the module, Explore use cases of Microsoft Security Copilot. </t>
  </si>
  <si>
    <t>SC-5007</t>
  </si>
  <si>
    <t>SC-5007: Implement retention, eDiscovery, and Communication compliance in Microsoft Purview</t>
  </si>
  <si>
    <t>https://learn.microsoft.com/training/paths/purview-implement-retention-ediscovery-communication-compliance/</t>
  </si>
  <si>
    <t>**5/30 Minor update: Minimal impact to ILT content.</t>
  </si>
  <si>
    <t>SC-5008</t>
  </si>
  <si>
    <t>SC-5008: Configure and govern entitlement with Microsoft Entra ID</t>
  </si>
  <si>
    <t>https://learn.microsoft.com/training/courses/sc-5008</t>
  </si>
  <si>
    <t>8/1/25 Minor update: Removal of slides for Microsoft Entra Permissions Management - deprecated May 2025.</t>
  </si>
  <si>
    <t>SC-900T00</t>
  </si>
  <si>
    <t>SC-900T00: Introduction to Microsoft Security, Compliance, and Identity</t>
  </si>
  <si>
    <t>https://learn.microsoft.com/training/courses/sc-900t00</t>
  </si>
  <si>
    <t>6/27 Major update: Title change: "Introduction to Microsoft Security, Compliance, and Identity"</t>
  </si>
  <si>
    <t>Exam Number</t>
  </si>
  <si>
    <t>Exam Name</t>
  </si>
  <si>
    <t>Certification Name</t>
  </si>
  <si>
    <t>Exam Url</t>
  </si>
  <si>
    <t>AB-100</t>
  </si>
  <si>
    <t>Agentic AI Business Solutions Architect</t>
  </si>
  <si>
    <t>Microsoft Certified: Agentic AI Business Solutions Architect</t>
  </si>
  <si>
    <t>https://learn.microsoft.com/credentials/certifications/agentic-ai-business-solutions-architect</t>
  </si>
  <si>
    <t>AI-102</t>
  </si>
  <si>
    <t>Designing and Implementing a Microsoft Azure AI Solution</t>
  </si>
  <si>
    <t>Microsoft Certified: Azure AI Engineer Associate</t>
  </si>
  <si>
    <t>https://docs.microsoft.com/learn/certifications/exams/AI-102</t>
  </si>
  <si>
    <t>Microsoft Certified: Azure AI Fundamentals</t>
  </si>
  <si>
    <t>https://docs.microsoft.com/learn/certifications/exams/AI-900</t>
  </si>
  <si>
    <t>AZ-104</t>
  </si>
  <si>
    <t>Microsoft Azure Administrator</t>
  </si>
  <si>
    <t>Microsoft Certified: Azure Administrator Associate</t>
  </si>
  <si>
    <t>https://docs.microsoft.com/learn/certifications/exams/AZ-104</t>
  </si>
  <si>
    <t>AZ-120</t>
  </si>
  <si>
    <t>Planning and Administering Microsoft Azure for SAP Workloads</t>
  </si>
  <si>
    <t>Microsoft Certified: Azure for SAP Workloads Specialty</t>
  </si>
  <si>
    <t>https://docs.microsoft.com/learn/certifications/exams/AZ-120</t>
  </si>
  <si>
    <t>AZ-140</t>
  </si>
  <si>
    <t>Configuring and Operating Microsoft Azure Virtual Desktop</t>
  </si>
  <si>
    <t>Microsoft Certified: Azure Virtual Desktop Specialty</t>
  </si>
  <si>
    <t>https://docs.microsoft.com/learn/certifications/exams/AZ-140</t>
  </si>
  <si>
    <t>AZ-204</t>
  </si>
  <si>
    <t>Developing Solutions for Microsoft Azure</t>
  </si>
  <si>
    <t>Microsoft Certified: Azure Developer Associate</t>
  </si>
  <si>
    <t>https://docs.microsoft.com/learn/certifications/exams/AZ-204</t>
  </si>
  <si>
    <t>AZ-305</t>
  </si>
  <si>
    <t>Designing Microsoft Azure Infrastructure Solutions</t>
  </si>
  <si>
    <t>Microsoft Certified: Azure Solutions Architect Expert</t>
  </si>
  <si>
    <t>https://docs.microsoft.com/learn/certifications/exams/az-305</t>
  </si>
  <si>
    <t>AZ-400</t>
  </si>
  <si>
    <t>Designing and Implementing Microsoft DevOps Solutions</t>
  </si>
  <si>
    <t>Microsoft Certified: DevOps Engineer Expert</t>
  </si>
  <si>
    <t>https://docs.microsoft.com/learn/certifications/exams/AZ-400</t>
  </si>
  <si>
    <t>AZ-500</t>
  </si>
  <si>
    <t>Microsoft Azure Security Technologies</t>
  </si>
  <si>
    <t>Microsoft Certified: Azure Security Engineer Associate</t>
  </si>
  <si>
    <t>https://docs.microsoft.com/learn/certifications/exams/AZ-500</t>
  </si>
  <si>
    <t>AZ-700</t>
  </si>
  <si>
    <t>Designing and Implementing Microsoft Azure Networking Solutions</t>
  </si>
  <si>
    <t>Microsoft Certified: Azure Network Engineer Associate</t>
  </si>
  <si>
    <t>https://docs.microsoft.com/learn/certifications/exams/AZ-700</t>
  </si>
  <si>
    <t>AZ-800</t>
  </si>
  <si>
    <t>Administering Windows Server Hybrid Core Infrastructure</t>
  </si>
  <si>
    <t>Microsoft Certified: Windows Server Hybrid Administrator Associate</t>
  </si>
  <si>
    <t>https://docs.microsoft.com/learn/certifications/exams/az-800</t>
  </si>
  <si>
    <t>AZ-801</t>
  </si>
  <si>
    <t>Configuring Windows Server Hybrid Advanced Services</t>
  </si>
  <si>
    <t>https://docs.microsoft.com/learn/certifications/exams/az-801</t>
  </si>
  <si>
    <t>AZ-900</t>
  </si>
  <si>
    <t>Microsoft Azure Fundamentals</t>
  </si>
  <si>
    <t>Microsoft Certified Azure Fundamentals</t>
  </si>
  <si>
    <t>https://docs.microsoft.com/learn/certifications/exams/AZ-900</t>
  </si>
  <si>
    <t>DP-100</t>
  </si>
  <si>
    <t>Designing and Implementing a Data Science Solution on Azure</t>
  </si>
  <si>
    <t>Microsoft Certified: Azure Data Scientist Associate</t>
  </si>
  <si>
    <t>https://docs.microsoft.com/learn/certifications/exams/DP-100</t>
  </si>
  <si>
    <t>DP-300</t>
  </si>
  <si>
    <t>Administering Relational Databases on Microsoft Azure</t>
  </si>
  <si>
    <t>Microsoft Certified: Azure Database Administrator Associate</t>
  </si>
  <si>
    <t>https://docs.microsoft.com/learn/certifications/exams/DP-300</t>
  </si>
  <si>
    <t>DP-420</t>
  </si>
  <si>
    <t>Designing and Implementing Cloud-Native Applications Using Microsoft Azure Cosmos DB</t>
  </si>
  <si>
    <t>Microsoft Certified: Azure Cosmos DB Developer Specialty</t>
  </si>
  <si>
    <t>https://docs.microsoft.com/learn/certifications/exams/DP-420</t>
  </si>
  <si>
    <t>Microsoft Certified: Fabric Analytics Engineer Associate</t>
  </si>
  <si>
    <t>https://learn.microsoft.com/credentials/certifications/fabric-analytics-engineer-associate</t>
  </si>
  <si>
    <t>DP-700</t>
  </si>
  <si>
    <t>Implementing Data Engineering Solutions Using Microsoft Fabric</t>
  </si>
  <si>
    <t>Microsoft Certified: Fabric Data Engineer Associate</t>
  </si>
  <si>
    <t>https://learn.microsoft.com/credentials/certifications/fabric-data-engineer-associate</t>
  </si>
  <si>
    <t>Microsoft Certified: Azure Data Fundamentals</t>
  </si>
  <si>
    <t>https://docs.microsoft.com/learn/certifications/exams/DP-900</t>
  </si>
  <si>
    <t>MB-230</t>
  </si>
  <si>
    <t>Microsoft Dynamics 365 Customer Service Funtional Consultant</t>
  </si>
  <si>
    <t>Microsoft Certified: Dynamics 365 Customer Service Functional Consultant Associate</t>
  </si>
  <si>
    <t>https://docs.microsoft.com/learn/certifications/exams/MB-230</t>
  </si>
  <si>
    <t>MB-240</t>
  </si>
  <si>
    <t>Microsoft Dynamics 365 Field Service Functional Consultant</t>
  </si>
  <si>
    <t>Microsoft Certified: Dynamics 365 for Field Service Functional Consultant Associate</t>
  </si>
  <si>
    <t>https://docs.microsoft.com/learn/certifications/exams/MB-240</t>
  </si>
  <si>
    <t>MB-280</t>
  </si>
  <si>
    <t>Microsoft Dynamics 365 Customer Experience Analyst</t>
  </si>
  <si>
    <t>Microsoft Certified: Dynamics 365 Customer Experience Analyst Associate</t>
  </si>
  <si>
    <t>https://learn.microsoft.com/credentials/certifications/d365-customer-experience-analyst-associate</t>
  </si>
  <si>
    <t>MB-310</t>
  </si>
  <si>
    <t>Microsoft Dynamics 365 Finance</t>
  </si>
  <si>
    <t>Microsoft Certified: Dynamics 365 Finance Functional Consultant Associate</t>
  </si>
  <si>
    <t>https://docs.microsoft.com/learn/certifications/exams/MB-310</t>
  </si>
  <si>
    <t>MB-330</t>
  </si>
  <si>
    <t>Microsoft Dynamics 365 Supply Chain Management​ Functional Consultant</t>
  </si>
  <si>
    <t>Microsoft Certified: Dynamics 365 Supply Chain Management Functional Consultant Associate</t>
  </si>
  <si>
    <t>https://docs.microsoft.com/learn/certifications/exams/MB-330</t>
  </si>
  <si>
    <t>MB-335</t>
  </si>
  <si>
    <t>Microsoft Dynamics 365 Supply Chain Management Functional Consultant Expert</t>
  </si>
  <si>
    <t>Microsoft Certified: Dynamics 365 Supply Chain Management Functional Consultant Expert</t>
  </si>
  <si>
    <t>https://docs.microsoft.com/learn/certifications/exams/MB-335</t>
  </si>
  <si>
    <t>MB-500</t>
  </si>
  <si>
    <t>Microsoft Dynamics 365: Finance and Operations Apps Developer</t>
  </si>
  <si>
    <t>Microsoft Certified: Dynamics 365 Finance and Operations Apps Developer Associate</t>
  </si>
  <si>
    <t>https://docs.microsoft.com/learn/certifications/exams/MB-500</t>
  </si>
  <si>
    <t>MB-700</t>
  </si>
  <si>
    <t>Microsoft Dynamics 365: Finance and Operations Apps Solution Architect</t>
  </si>
  <si>
    <t>Microsoft Certified: Dynamics 365 Finance and Operations Apps Solution Architect Expert</t>
  </si>
  <si>
    <t>https://docs.microsoft.com/learn/certifications/exams/MB-700</t>
  </si>
  <si>
    <t>MB-800</t>
  </si>
  <si>
    <t>Microsoft Dynamics 365 Business Central Functional Consultant</t>
  </si>
  <si>
    <t>Microsoft Certified: Dynamics 365 Business Central Functional Consultant Associate</t>
  </si>
  <si>
    <t>https://docs.microsoft.com/learn/certifications/exams/MB-800</t>
  </si>
  <si>
    <t>MB-820</t>
  </si>
  <si>
    <t>Microsoft Dynamics 365 Business Central Developer Associate</t>
  </si>
  <si>
    <t>Microsoft Certified: Dynamics 365 Business Central Developer Associate</t>
  </si>
  <si>
    <t>https://learn.microsoft.com/credentials/certifications/d365-business-central-developer-associate</t>
  </si>
  <si>
    <t>MD-102</t>
  </si>
  <si>
    <t>Endpoint Administrator</t>
  </si>
  <si>
    <t>Microsoft 365 Certified: Endpoint Administrator Associate</t>
  </si>
  <si>
    <t>https://docs.microsoft.com/learn/certifications/exams/MD-102</t>
  </si>
  <si>
    <t>MS-102</t>
  </si>
  <si>
    <t>Microsoft 365 Administrator</t>
  </si>
  <si>
    <t>Microsoft 365 Certified: Administrator Expert</t>
  </si>
  <si>
    <t>https://docs.microsoft.com/learn/certifications/exams/MS-102</t>
  </si>
  <si>
    <t>MS-700</t>
  </si>
  <si>
    <t>Managing Microsoft Teams</t>
  </si>
  <si>
    <t>Microsoft 365 Certified: Teams Administrator Associate</t>
  </si>
  <si>
    <t>https://docs.microsoft.com/learn/certifications/exams/MS-700</t>
  </si>
  <si>
    <t>MS-721</t>
  </si>
  <si>
    <t>Collaboration Communications Systems Engineer</t>
  </si>
  <si>
    <t>Microsoft 365 Certified: Collaboration Communications Systems Engineer Associate</t>
  </si>
  <si>
    <t>https://docs.microsoft.com/learn/certifications/exams/MS-721</t>
  </si>
  <si>
    <t>https://docs.microsoft.com/learn/certifications/exams/MS-900</t>
  </si>
  <si>
    <t>PL-200</t>
  </si>
  <si>
    <t>Microsoft Power Platform Functional Consultant</t>
  </si>
  <si>
    <t>Microsoft Certified: Power Platform Functional Consultant Associate</t>
  </si>
  <si>
    <t>https://docs.microsoft.com/learn/certifications/exams/PL-200</t>
  </si>
  <si>
    <t>Microsoft Certified: Power BI Data Analyst Associate</t>
  </si>
  <si>
    <t>https://docs.microsoft.com/learn/certifications/exams/PL-300</t>
  </si>
  <si>
    <t>PL-400</t>
  </si>
  <si>
    <t>Microsoft Power Platform Developer</t>
  </si>
  <si>
    <t>Microsoft Certified: Power Platform Developer Associate</t>
  </si>
  <si>
    <t>https://docs.microsoft.com/learn/certifications/exams/PL-400</t>
  </si>
  <si>
    <t>PL-500</t>
  </si>
  <si>
    <t>Microsoft Power Automate RPA Developer</t>
  </si>
  <si>
    <t>Microsoft Certified: Power Automate RPA Developer Associate</t>
  </si>
  <si>
    <t>https://docs.microsoft.com/learn/certifications/exams/PL-500</t>
  </si>
  <si>
    <t>PL-600</t>
  </si>
  <si>
    <t>Microsoft Power Platform Solution Architect</t>
  </si>
  <si>
    <t>Microsoft Certified: Power Platform Solution Architect Expert</t>
  </si>
  <si>
    <t>https://docs.microsoft.com/learn/certifications/exams/PL-600</t>
  </si>
  <si>
    <t>PL-900</t>
  </si>
  <si>
    <t>Microsoft Power Platform Fundamentals</t>
  </si>
  <si>
    <t>Microsoft Certified: Power Platform Fundamentals</t>
  </si>
  <si>
    <t>https://docs.microsoft.com/learn/certifications/exams/PL-900</t>
  </si>
  <si>
    <t>SC-100</t>
  </si>
  <si>
    <t>Microsoft Cybersecurity Architect</t>
  </si>
  <si>
    <t>Microsoft Certified: Cybersecurity Architect Expert</t>
  </si>
  <si>
    <t>https://docs.microsoft.com/learn/certifications/exams/SC-100</t>
  </si>
  <si>
    <t>SC-200</t>
  </si>
  <si>
    <t>Microsoft Security Operations Analyst</t>
  </si>
  <si>
    <t>Microsoft Certified: Security Operations Analyst Associate</t>
  </si>
  <si>
    <t>https://docs.microsoft.com/learn/certifications/exams/SC-200</t>
  </si>
  <si>
    <t>SC-300</t>
  </si>
  <si>
    <t>Microsoft Identity and Access Administrator</t>
  </si>
  <si>
    <t>Microsoft Certified: Identity and Access Administrator Associate</t>
  </si>
  <si>
    <t>https://docs.microsoft.com/learn/certifications/exams/SC-300</t>
  </si>
  <si>
    <t>SC-401</t>
  </si>
  <si>
    <t>Administering Information Security in Microsoft 365</t>
  </si>
  <si>
    <t>Microsoft Certified: Information Security Administrator</t>
  </si>
  <si>
    <t>https://learn.microsoft.com/credentials/certifications/information-security-administrator</t>
  </si>
  <si>
    <t>SC-900</t>
  </si>
  <si>
    <t>Microsoft Security, Compliance, and Identity Fundamentals</t>
  </si>
  <si>
    <t>Microsoft Certified: Security, Compliance, and Identity Fundamentals</t>
  </si>
  <si>
    <t>https://docs.microsoft.com/learn/certifications/exams/SC-900</t>
  </si>
  <si>
    <t>Credential Name</t>
  </si>
  <si>
    <t>Assesment Url</t>
  </si>
  <si>
    <t>AI-3003: Build a natural language processing solution with Azure AI Services</t>
  </si>
  <si>
    <t>Build a natural language processing solution with Azure AI Language</t>
  </si>
  <si>
    <t>https://learn.microsoft.com/credentials/applied-skills/build-natural-language-solution-azure-ai/</t>
  </si>
  <si>
    <t>AI-3004: Build an Azure AI Vision solution with Azure AI services</t>
  </si>
  <si>
    <t>Build an Azure AI Vision solution</t>
  </si>
  <si>
    <t>Offline</t>
  </si>
  <si>
    <t>https://learn.microsoft.com/credentials/applied-skills/build-azure-ai-vision-solution/</t>
  </si>
  <si>
    <t>Build AI-powered solutions by using Microsoft Azure Database for PostgreSQL</t>
  </si>
  <si>
    <t>https://learn.microsoft.com/credentials/applied-skills/build-ai-powered-solutions-by-using-microsoft-azure-database-for-postgresql/</t>
  </si>
  <si>
    <t xml:space="preserve">AI-3022: Implement AI Skills in Azure AI Search </t>
  </si>
  <si>
    <t>Implement knowledge mining with Azure AI Search</t>
  </si>
  <si>
    <t>https://learn.microsoft.com/credentials/applied-skills/implement-knowledge-mining-with-azure-ai-search/</t>
  </si>
  <si>
    <t>Configure secure access to your workloads using Azure networking</t>
  </si>
  <si>
    <t>https://learn.microsoft.com/credentials/applied-skills/configure-secure-workloads-use-azure-virtual-networking/</t>
  </si>
  <si>
    <t>Secure storage for Azure Files and Azure Blob Storage</t>
  </si>
  <si>
    <t>https://learn.microsoft.com/credentials/applied-skills/secure-storage-azure-files-azure-blob-storage/</t>
  </si>
  <si>
    <t>Deploy and configure Azure Monitor</t>
  </si>
  <si>
    <t>https://learn.microsoft.com/credentials/applied-skills/deploy-and-configure-azure-monitor/</t>
  </si>
  <si>
    <t>Administer Active Directory Domain Services</t>
  </si>
  <si>
    <t>https://learn.microsoft.com/credentials/applied-skills/administer-active-directory-domain-services/</t>
  </si>
  <si>
    <t>Deploy and manage Microsoft Azure Arc–enabled servers</t>
  </si>
  <si>
    <t>https://learn.microsoft.com/credentials/applied-skills/deploy-and-manage-microsoft-azure-arc-enabled-servers/</t>
  </si>
  <si>
    <t>Implement security through a pipeline using Azure DevOps</t>
  </si>
  <si>
    <t>https://learn.microsoft.com/credentials/applied-skills/implement-security-through-pipeline-using-devops/</t>
  </si>
  <si>
    <t>Develop an ASP.NET Core web app that consumes an API</t>
  </si>
  <si>
    <t>https://learn.microsoft.com/credentials/applied-skills/develop-an-aspnet-core-web-app-that-consumes-an-api/</t>
  </si>
  <si>
    <t>Deploy cloud-native apps using Azure Container Apps</t>
  </si>
  <si>
    <t>https://learn.microsoft.com/credentials/applied-skills/deploy-cloud-native-apps-using-azure-container-apps/</t>
  </si>
  <si>
    <t>Develop generative AI apps with Azure OpenAI and Semantic Kernel</t>
  </si>
  <si>
    <t>https://learn.microsoft.com/credentials/applied-skills/develop-ai-agents-using-microsoft-azure-openai-and-semantic-kernel/</t>
  </si>
  <si>
    <t xml:space="preserve">AZ-2006: Automate Azure Load Testing by using GitHub </t>
  </si>
  <si>
    <t>Automate Azure Load Testing by using GitHub Actions</t>
  </si>
  <si>
    <t>https://learn.microsoft.com/credentials/applied-skills/automate-azure-load-testing-by-using-github-actions/</t>
  </si>
  <si>
    <t>Accelerate app development by using GitHub Copilot</t>
  </si>
  <si>
    <t>https://learn.microsoft.com/credentials/applied-skills/accelerate-app-development-by-using-github-copilot/</t>
  </si>
  <si>
    <t>Migrate SQL Server workloads to Azure SQL Database</t>
  </si>
  <si>
    <t>https://learn.microsoft.com/credentials/applied-skills/migrate-sql-workloads-azure-sql-database/</t>
  </si>
  <si>
    <t>Develop data-driven applications by using Microsoft Azure SQL Database</t>
  </si>
  <si>
    <t>https://learn.microsoft.com/credentials/applied-skills/develop-data-driven-applications-by-using-microsoft-azure-sql-database/</t>
  </si>
  <si>
    <t>Configure and migrate to Azure Database for PostgreSQL</t>
  </si>
  <si>
    <t>https://learn.microsoft.com/credentials/applied-skills/configure-and-migrate-to-azure-database-for-postgresql/</t>
  </si>
  <si>
    <t>DP-601T00: Implementing a Lakehouse with Microsoft Fabric</t>
  </si>
  <si>
    <t>Implement a lakehouse in Microsoft Fabric</t>
  </si>
  <si>
    <t>https://learn.microsoft.com/credentials/applied-skills/implement-lakehouse-microsoft-fabric/</t>
  </si>
  <si>
    <t>Implement a data warehouse in Microsoft Fabric</t>
  </si>
  <si>
    <t>https://learn.microsoft.com/credentials/applied-skills/work-with-data-warehouses-using-microsoft-fabric/</t>
  </si>
  <si>
    <t>DP-603T00: Implementing Real-Time Intelligence with Microsoft Fabric</t>
  </si>
  <si>
    <t>Implement a Real-Time Intelligence solution with Microsoft Fabric</t>
  </si>
  <si>
    <t>https://learn.microsoft.com/credentials/applied-skills/implement-a-real-time-intelligence-solution-with-microsoft-fabric/</t>
  </si>
  <si>
    <t>Implement a data science and machine learning solution with Microsoft Fabric</t>
  </si>
  <si>
    <t>https://learn.microsoft.com/credentials/applied-skills/implement-a-data-science-and-machine-learning-solution-with-microsoft-fabric/</t>
  </si>
  <si>
    <t>Prepare security and compliance to support Microsoft 365 Copilot</t>
  </si>
  <si>
    <t>https://learn.microsoft.com/credentials/applied-skills/prepare-security-and-compliance-to-support-microsoft-365-copilot/</t>
  </si>
  <si>
    <t>Extend Microsoft 365 Copilot with declarative agents by using Visual Studio Code</t>
  </si>
  <si>
    <t>https://learn.microsoft.com/credentials/applied-skills/extend-microsoft-365-copilot-with-declarative-agents-by-using-visual-studio-code/</t>
  </si>
  <si>
    <t>Streamline business workflows with AI chat</t>
  </si>
  <si>
    <t>https://learn.microsoft.com/credentials/applied-skills/streamline-business-workflows-with-ai-chat/</t>
  </si>
  <si>
    <t>Generate reports with AI research agents</t>
  </si>
  <si>
    <t>https://learn.microsoft.com/credentials/applied-skills/generate-reports-with-ai-research-agents/</t>
  </si>
  <si>
    <t>Secure AI solutions in the cloud</t>
  </si>
  <si>
    <t>https://learn.microsoft.com/credentials/applied-skills/secure-ai-solutions-in-the-cloud/</t>
  </si>
  <si>
    <t>Enhance agents with autonomous capabilities</t>
  </si>
  <si>
    <t>https://learn.microsoft.com/credentials/applied-skills/enhance-agents-with-autonomous-capabilities/</t>
  </si>
  <si>
    <t>Create and manage canvas apps with Power Apps</t>
  </si>
  <si>
    <t>https://learn.microsoft.com/credentials/applied-skills/create-manage-canvas-apps-power-apps/</t>
  </si>
  <si>
    <t>Create and manage automated processes by using Power Automate</t>
  </si>
  <si>
    <t>https://learn.microsoft.com/credentials/applied-skills/create-and-manage-automated-processes-with-power-automate/</t>
  </si>
  <si>
    <t>Create and manage model-driven apps with Power Apps and Dataverse</t>
  </si>
  <si>
    <t>https://learn.microsoft.com/credentials/applied-skills/create-and-manage-model-driven-apps-with-power-apps-and-dataverse/</t>
  </si>
  <si>
    <t>PL-7008: Create and extend custom copilots in Microsoft Copilot Studio</t>
  </si>
  <si>
    <t>Create agents in Microsoft Copilot Studio</t>
  </si>
  <si>
    <t>https://learn.microsoft.com/credentials/applied-skills/create-agents-in-microsoft-copilot-studio/</t>
  </si>
  <si>
    <t>Secure Azure services and workloads with Microsoft Defender for Cloud regulatory compliance controls</t>
  </si>
  <si>
    <t>https://learn.microsoft.com/credentials/applied-skills/secure-azure-services-and-workloads-with-microsoft-defender-for-cloud-regulatory-compliance-controls/</t>
  </si>
  <si>
    <t xml:space="preserve">SC-5003: Implement information protection and data loss prevention by using Microsoft Purview </t>
  </si>
  <si>
    <t>Implement information protection and data loss prevention by using Microsoft Purview</t>
  </si>
  <si>
    <t>https://learn.microsoft.com/credentials/applied-skills/implement-information-protection-and-data-loss-prevention-by-using-microsoft-purview/</t>
  </si>
  <si>
    <t>SC-5004: Defend against threats with Microsoft Defender (XDR)</t>
  </si>
  <si>
    <t>Defend against cyberthreats with Microsoft Defender XDR</t>
  </si>
  <si>
    <t>https://learn.microsoft.com/credentials/applied-skills/defend-against-cyberthreats-with-microsoft-defender-xdr/</t>
  </si>
  <si>
    <t>Implement retention, eDiscovery, and Communication Compliance in Microsoft Purview</t>
  </si>
  <si>
    <t>https://learn.microsoft.com/credentials/applied-skills/implement-retention-ediscovery-and-communication-compliance-in-microsoft-purview/</t>
  </si>
  <si>
    <t>To do list</t>
  </si>
  <si>
    <t>Checklist các công việc cần thực hiện để đồng bộ thông tin</t>
  </si>
  <si>
    <t>NHÓM 1: TRANG CHI TIẾT KHÓA HỌC LẺ (26 TRANG)</t>
  </si>
  <si>
    <t>Với mỗi trang dưới đây, hãy thực hiện đồng thời: Đổi Slug, SEO Title (Name tab), H1 (Tiêu đề hiển thị), Body Content và SKU/Tên sản phẩm trong WooCommerce.</t>
  </si>
  <si>
    <t>STT</t>
  </si>
  <si>
    <t>Product_Code</t>
  </si>
  <si>
    <t>rpoduct_name</t>
  </si>
  <si>
    <t>Link</t>
  </si>
  <si>
    <t>Đầu việc cụ thể cần thực hiện</t>
  </si>
  <si>
    <t>Nội dung: Hiện tại &gt;&gt; Mới</t>
  </si>
  <si>
    <t>Code_Display</t>
  </si>
  <si>
    <t>Column1</t>
  </si>
  <si>
    <t>Sửa slug</t>
  </si>
  <si>
    <t>ai-900-microsoft-azure-ai-fundamentals</t>
  </si>
  <si>
    <t>Done</t>
  </si>
  <si>
    <t>apbi-power-bi-advanced-data-modeling-and-visualization</t>
  </si>
  <si>
    <t>asql-advanced-query-with-t-sql</t>
  </si>
  <si>
    <t>baed-digital-business-analyst-skills</t>
  </si>
  <si>
    <t>bafu-fundamental-business-analyst-skills</t>
  </si>
  <si>
    <t>bisql-combo-power-bi-and-sql</t>
  </si>
  <si>
    <t>Sửa slug
Sửa SEO Title</t>
  </si>
  <si>
    <t>bopa-optimize-business-process-using-power-apps-power-automate-and-power-bi</t>
  </si>
  <si>
    <t>crba-career-success-guide</t>
  </si>
  <si>
    <t>crda-data-analytics-preparation</t>
  </si>
  <si>
    <t>Sửa slug
Sửa body content</t>
  </si>
  <si>
    <t>csql-combo-sql-from-zero-to-job-ready
Advanced Query with T-SQL &gt;&gt; ASQL – Advanced Query with T-SQL</t>
  </si>
  <si>
    <t>dafd-data-analytics-foundation</t>
  </si>
  <si>
    <t>Sửa body content</t>
  </si>
  <si>
    <t>- Nội dung học phần II: thiếu code_display
- Study Program: thiếu code_display</t>
  </si>
  <si>
    <t>sppt-storytelling-with-powerpoint</t>
  </si>
  <si>
    <t>dbap-digital-business-analyst-program</t>
  </si>
  <si>
    <t>Sửa slug
Sửa SEO Title
Sửa H1</t>
  </si>
  <si>
    <t>Sửa SEO Title
Sửa H1</t>
  </si>
  <si>
    <t>DP-600 – Implementing Analytics Solutions Using Microsoft Fabric</t>
  </si>
  <si>
    <t>dp-900-microsoft-azure-data-fundamentals</t>
  </si>
  <si>
    <t>Sửa Variations (DB)</t>
  </si>
  <si>
    <t>EXCELDA &gt;&gt; EXDA-?? (Mã lớp chuẩn đang chạy)</t>
  </si>
  <si>
    <t>EXQP – Power Excel Mastery: Query &amp; Pivot Essentials</t>
  </si>
  <si>
    <t>Sửa slug
Sửa SEO Title
Sửa H1
Sửa ảnh đại diện</t>
  </si>
  <si>
    <t>istt-instructional-skills-for-tech-trainer
SEO Title &amp; H1: ISTT – Instructional Skills for Tech Trainer</t>
  </si>
  <si>
    <t>Sửa slug
Sửa SEO Title
Sửa H1
Sửa ảnh đại diện → Điều chỉnh trong phase sau</t>
  </si>
  <si>
    <t>Slug: pl-300-microsoft-power-bi-data-analyst
Analyzing Data with Power BI &gt;&gt; Microsoft Power BI Data Analyst</t>
  </si>
  <si>
    <t>PL-7001 – Create and Manage Canvas Apps with Power Apps</t>
  </si>
  <si>
    <t>PL-7002 – Create and Manage Automated Processes by using Power Automate</t>
  </si>
  <si>
    <t>PL-7003 – Create and Manage Model-Driven Apps with Power Apps and Dataverse</t>
  </si>
  <si>
    <t>pyda-python-for-data-analytics</t>
  </si>
  <si>
    <t>Slug
SEO Title &amp; H1</t>
  </si>
  <si>
    <t>Đã kiểm tra việc đổi slug và SEO Title trên ternant Dev thì không có ảnh hưởng đến SEO
Có redirect 301 nên việc đổi slug cũ sang mới không bị gãy truy cập
SEO Title &amp; H1: sửa Title sản phẩm thì tự động ghi nhận SEO Title và H1</t>
  </si>
  <si>
    <t>NHÓM 2: TRANG TỔNG HỢP VÀ DANH MỤC (GLOBAL PAGES)</t>
  </si>
  <si>
    <t>Các trang này chứa bảng dữ liệu hoặc danh sách sản phẩm hiển thị chung.</t>
  </si>
  <si>
    <t>Trang cần sửa</t>
  </si>
  <si>
    <t>Thao tác cần làm</t>
  </si>
  <si>
    <t>Chi tiết chỉnh sửa</t>
  </si>
  <si>
    <t>Nguồn hiện tại</t>
  </si>
  <si>
    <t>Lịch khai giảng</t>
  </si>
  <si>
    <t>Sửa nội dung bảng (Offline &amp; Online)</t>
  </si>
  <si>
    <t>+ Cách viết tên khóa học: thống nhất cách hiển thị theo full_product_name
+ Tên khóa PYDA đang sai
&gt;&gt; Sửa Python For Data thành "PYDA: Python for Data Analytics"</t>
  </si>
  <si>
    <t>Lịch khai giảng - Datapot.vn</t>
  </si>
  <si>
    <t>Hệ thống chứng nhận</t>
  </si>
  <si>
    <t>Sửa text hiển thị</t>
  </si>
  <si>
    <t>Mục hình ảnh chứng nhận &gt;&gt; Cập nhật mẫu chứng nhận mới nhất (Không có product_code)</t>
  </si>
  <si>
    <t>Hệ thống chứng nhận - Datapot.vn</t>
  </si>
  <si>
    <t>Shop (Cửa hàng)</t>
  </si>
  <si>
    <t>Sửa tiêu đề &amp; SKU</t>
  </si>
  <si>
    <t>Rà soát 26 sản phẩm trong cửa hàng để đảm bảo tên và mã khớp hoàn toàn với Nhóm 1</t>
  </si>
  <si>
    <t>Shop - Datapot.vn</t>
  </si>
  <si>
    <t>NHÓM 3: RÀ SOÁT KỸ THUẬT VÀ ĐIỀU HƯỚNG (FINAL CHECK)</t>
  </si>
  <si>
    <t>Đây là bước cuối cùng sau khi đã thay đổi Slug để đảm bảo không bị lỗi link.</t>
  </si>
  <si>
    <t>Đầu việc</t>
  </si>
  <si>
    <t>Redirect 301</t>
  </si>
  <si>
    <t>Cài đặt chuyển hướng các link cũ</t>
  </si>
  <si>
    <t>Tránh lỗi 404 cho người dùng và giữ SEO</t>
  </si>
  <si>
    <t>Related Courses</t>
  </si>
  <si>
    <t>Cập nhật widget chân trang của 26 khóa lẻ</t>
  </si>
  <si>
    <t>Đảm bảo phần "Khóa học liên quan" hiển thị tên/mã mới</t>
  </si>
  <si>
    <t>Internal Links</t>
  </si>
  <si>
    <t>Tìm kiếm trong nội dung bài viết các cụm từ mã cũ</t>
  </si>
  <si>
    <t>Chỉnh sửa các liên kết nội bộ trong bài viết để trỏ về URL mới</t>
  </si>
  <si>
    <t>Alt text Ảnh</t>
  </si>
  <si>
    <t>Sửa Alt text của ảnh đại diện khóa học</t>
  </si>
  <si>
    <t>Đồng bộ tên ảnh theo tên khóa học mới để tối ưu tìm kiếm</t>
  </si>
  <si>
    <t>Lưu ý: Nên bắt đầu từ trang PL300 vì đây là khóa học có sự thay đổi tên lớn nhất và xuất hiện trong nhiều lộ trình nhất (DAFD, DAFP, BOPA, BISQL). Việc sửa PL300 trước sẽ giúp đồng bộ nhanh các trang lộ trình sau đó.</t>
  </si>
  <si>
    <t>NHÓM 4: RÀ SOÁT DB</t>
  </si>
  <si>
    <t>Đây là bước chuẩn hóa lại thông tin trên DB &gt;&gt; Đồng bộ lên app nội bộ và các thông tin khác gửi ra ngoài (Email/Cert)</t>
  </si>
  <si>
    <t>Ghi chú</t>
  </si>
  <si>
    <t>Phương án</t>
  </si>
  <si>
    <t>Def_Name</t>
  </si>
  <si>
    <t>Cập nhật def_name
Khóa BOPA
Khóa PL7002
Khóa DP080
Khóa DP900
Khóa PL7001
Khóa PL7003</t>
  </si>
  <si>
    <t>Cũ &gt;&gt; Mới
+ BOPA Optimize Business Processes Using Power Automate &amp; Power Apps &gt;&gt; BOPA Optimize Business Process using Power Apps, Power Automate &amp; Power BI
+ PL7002 Create and Manage Automated Processes | By Using Power Automate &gt;&gt; PL7002 Create and Manage Automated Processes by using Power Automate
+ DP080 Querying Data with Microsoft T-SQL &gt;&gt; DP080 Query and modify data with Transact-SQL
+ DP900 Azure Data Fundamentals &gt;&gt; DP900 Microsoft Azure Data Fundamentals
+ PL7001 Create and manage canvas apps with Power Apps &gt;&gt; Create and Manage Canvas Apps with Power Apps
+ PL7003 Create and manage model-driven apps with Power Apps and Dataverse &gt;&gt; Create and Manage Model-Driven Apps with Power Apps and Dataverse</t>
  </si>
  <si>
    <t>Cập nhật DB</t>
  </si>
  <si>
    <t>Cert_Name</t>
  </si>
  <si>
    <t>Cập nhật cert_name
Khóa BOPA
Khóa PL7002
Khóa DP080
Khóa DP900
Khóa PL7001
Khóa PL7003</t>
  </si>
  <si>
    <t>Variations</t>
  </si>
  <si>
    <t>Fix lỗi xung đột product_code cũ và mới của khóa EXCELDA, SPPT</t>
  </si>
  <si>
    <t>Lớp cũ EXCELDA, SPPT-11
2 lớp này product_code không còn trên hệ thống &gt; khi update lớp trên operations app thì sẽ tự duplicate ra mã khác và nhảy thông tin lên website &gt; cần điều chỉnh đồng bộ product_code và class_code, các link teams cũ cần giữ nguyên &gt; Điều chỉnh tên lớp trên Teams (nếu có) &amp; LMS (nếu có)</t>
  </si>
  <si>
    <t>Email</t>
  </si>
  <si>
    <t>Chỉ cần thực hiện điều chỉnh DB</t>
  </si>
  <si>
    <t>Danh sách các email
Xác nhận đơn hàng và thông tin thanh toán
- Tên sản phẩm
- Mã lớp
Thông tin tài khoản học tập và học liệu
- Khóa học
- Mã lớp học
Xác nhận yêu cầu thành công
- Mã lớp học
- Mã lớp mới
Thông báo khai giảng
- Khóa học
- Mã lớp
Tổng kết khóa học (Title cần điều chỉnh)
- Khóa học
- Mã lớp</t>
  </si>
  <si>
    <t>Nhóm 5: Hướng xử lý lỗi xung đột product_code cũ và mới của khóa EXCELDA,SPPT</t>
  </si>
  <si>
    <t>Hiện trạng</t>
  </si>
  <si>
    <t>product_code đã từng được điều chỉnh =&gt; class_code, variation_code không đồng nhất</t>
  </si>
  <si>
    <t>Vấn đề</t>
  </si>
  <si>
    <t>Khi thực hiện filter lớp theo product =&gt; tìm thấy cả lớp có product cũ và product mới (Vì mapping theo product id)
Khi thực hiện update dữ liệu bằng app OPS thì sẽ tạo ra 1 lớp mới =&gt; sai luồng dữ liệu</t>
  </si>
  <si>
    <t>Hướng xử lý</t>
  </si>
  <si>
    <t>- Xác định product_code chuẩn sẽ sử dụng
- update dữ liệu tại các bảng class, variation theo chuẩn product code tại các lớp.
- Bổ sung dữ liệu cho variation_class nếu thiếu
- Điều chỉnh lại tên variation trên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</si>
</sst>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b/>
      <sz val="12"/>
      <color theme="1"/>
      <name val="Aptos Narrow"/>
      <family val="2"/>
      <scheme val="minor"/>
    </font>
    <font>
      <i/>
      <sz val="12"/>
      <color theme="1"/>
      <name val="Aptos Narrow"/>
      <family val="2"/>
      <scheme val="minor"/>
    </font>
    <font>
      <b/>
      <sz val="16"/>
      <color theme="1"/>
      <name val="Aptos Narrow"/>
      <family val="2"/>
      <scheme val="minor"/>
    </font>
    <font>
      <sz val="11"/>
      <color rgb="FF000000"/>
      <name val="Aptos Narrow"/>
      <charset val="1"/>
    </font>
    <font>
      <sz val="12"/>
      <color theme="0"/>
      <name val="Segoe UI"/>
      <family val="2"/>
    </font>
    <font>
      <b/>
      <sz val="11"/>
      <color theme="1"/>
      <name val="Aptos Narrow"/>
      <family val="2"/>
      <scheme val="minor"/>
    </font>
    <font>
      <sz val="11"/>
      <color theme="1"/>
      <name val="Segoe UI"/>
      <family val="2"/>
    </font>
    <font>
      <b/>
      <sz val="11"/>
      <color theme="1"/>
      <name val="Segoe UI"/>
      <family val="2"/>
    </font>
    <font>
      <i/>
      <sz val="11"/>
      <color theme="1"/>
      <name val="Aptos Narrow"/>
      <family val="2"/>
      <scheme val="minor"/>
    </font>
    <font>
      <i/>
      <sz val="11"/>
      <color rgb="FF000000"/>
      <name val="Aptos Narrow"/>
      <scheme val="minor"/>
    </font>
    <font>
      <i/>
      <sz val="11"/>
      <color rgb="FF000000"/>
      <name val="Aptos Narrow"/>
    </font>
    <font>
      <b/>
      <i/>
      <sz val="11"/>
      <color rgb="FFC00000"/>
      <name val="Aptos Narrow"/>
      <family val="2"/>
      <scheme val="minor"/>
    </font>
    <font>
      <sz val="11"/>
      <color rgb="FF000000"/>
      <name val="Aptos Narrow"/>
      <scheme val="minor"/>
    </font>
    <font>
      <sz val="11"/>
      <color rgb="FFFF0000"/>
      <name val="Aptos Narrow"/>
      <scheme val="minor"/>
    </font>
    <font>
      <sz val="11"/>
      <color theme="1"/>
      <name val="Aptos Narrow"/>
      <scheme val="minor"/>
    </font>
    <font>
      <b/>
      <i/>
      <sz val="11"/>
      <color theme="1"/>
      <name val="Aptos Narrow"/>
      <family val="2"/>
      <scheme val="minor"/>
    </font>
    <font>
      <b/>
      <sz val="11"/>
      <color rgb="FF000000"/>
      <name val="Aptos Narrow"/>
      <charset val="1"/>
    </font>
    <font>
      <sz val="12"/>
      <name val="Segoe UI"/>
      <family val="2"/>
    </font>
    <font>
      <sz val="11"/>
      <color rgb="FF000000"/>
      <name val="Aptos Narrow"/>
      <family val="2"/>
    </font>
    <font>
      <b/>
      <sz val="11"/>
      <color rgb="FF000000"/>
      <name val="Aptos Narrow"/>
      <scheme val="minor"/>
    </font>
    <font>
      <sz val="11"/>
      <color rgb="FF242424"/>
      <name val="Aptos Narrow"/>
    </font>
    <font>
      <b/>
      <sz val="11"/>
      <color rgb="FF242424"/>
      <name val="Aptos Narrow"/>
    </font>
    <font>
      <sz val="11"/>
      <color rgb="FF000000"/>
      <name val="Aptos Narrow"/>
    </font>
    <font>
      <b/>
      <sz val="11"/>
      <color rgb="FF000000"/>
      <name val="Aptos Narrow"/>
    </font>
    <font>
      <b/>
      <i/>
      <sz val="11"/>
      <color rgb="FF000000"/>
      <name val="Aptos Narrow"/>
    </font>
    <font>
      <sz val="11"/>
      <color rgb="FF242424"/>
      <name val="Aptos Narrow"/>
      <charset val="1"/>
    </font>
  </fonts>
  <fills count="10">
    <fill>
      <patternFill patternType="none"/>
    </fill>
    <fill>
      <patternFill patternType="gray125"/>
    </fill>
    <fill>
      <patternFill patternType="solid">
        <fgColor theme="4" tint="-0.249977111117893"/>
        <bgColor indexed="64"/>
      </patternFill>
    </fill>
    <fill>
      <patternFill patternType="solid">
        <fgColor rgb="FFFFE699"/>
        <bgColor indexed="64"/>
      </patternFill>
    </fill>
    <fill>
      <patternFill patternType="solid">
        <fgColor rgb="FFA9D08E"/>
        <bgColor indexed="64"/>
      </patternFill>
    </fill>
    <fill>
      <patternFill patternType="solid">
        <fgColor rgb="FFFFFF00"/>
        <bgColor indexed="64"/>
      </patternFill>
    </fill>
    <fill>
      <patternFill patternType="solid">
        <fgColor rgb="FFFFFFFF"/>
        <bgColor indexed="64"/>
      </patternFill>
    </fill>
    <fill>
      <patternFill patternType="solid">
        <fgColor theme="4" tint="0.59999389629810485"/>
        <bgColor indexed="64"/>
      </patternFill>
    </fill>
    <fill>
      <patternFill patternType="solid">
        <fgColor rgb="FF690063"/>
        <bgColor indexed="64"/>
      </patternFill>
    </fill>
    <fill>
      <patternFill patternType="solid">
        <fgColor theme="0" tint="-4.9989318521683403E-2"/>
        <bgColor indexed="64"/>
      </patternFill>
    </fill>
  </fills>
  <borders count="17">
    <border>
      <left/>
      <right/>
      <top/>
      <bottom/>
      <diagonal/>
    </border>
    <border>
      <left/>
      <right/>
      <top style="thin">
        <color theme="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theme="4"/>
      </top>
      <bottom style="thin">
        <color theme="4"/>
      </bottom>
      <diagonal/>
    </border>
    <border>
      <left/>
      <right/>
      <top style="thin">
        <color rgb="FF156082"/>
      </top>
      <bottom/>
      <diagonal/>
    </border>
    <border>
      <left/>
      <right style="thin">
        <color rgb="FF156082"/>
      </right>
      <top style="thin">
        <color rgb="FF15608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theme="4"/>
      </right>
      <top style="thin">
        <color theme="4"/>
      </top>
      <bottom/>
      <diagonal/>
    </border>
    <border>
      <left/>
      <right style="thin">
        <color theme="4"/>
      </right>
      <top style="thin">
        <color theme="4"/>
      </top>
      <bottom style="thin">
        <color theme="4"/>
      </bottom>
      <diagonal/>
    </border>
  </borders>
  <cellStyleXfs count="2">
    <xf numFmtId="0" fontId="0" fillId="0" borderId="0"/>
    <xf numFmtId="0" fontId="2" fillId="0" borderId="0" applyNumberFormat="0" applyFill="0" applyBorder="0" applyAlignment="0" applyProtection="0"/>
  </cellStyleXfs>
  <cellXfs count="105">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3" fontId="0" fillId="0" borderId="0" xfId="0" applyNumberFormat="1" applyAlignment="1">
      <alignment wrapText="1"/>
    </xf>
    <xf numFmtId="0" fontId="4" fillId="0" borderId="0" xfId="0" applyFont="1"/>
    <xf numFmtId="0" fontId="5" fillId="0" borderId="0" xfId="0" applyFont="1"/>
    <xf numFmtId="0" fontId="6" fillId="0" borderId="0" xfId="0" applyFont="1"/>
    <xf numFmtId="0" fontId="0" fillId="0" borderId="0" xfId="0" applyAlignment="1">
      <alignment horizontal="center" wrapText="1"/>
    </xf>
    <xf numFmtId="0" fontId="1" fillId="0" borderId="0" xfId="0" applyFont="1" applyAlignment="1">
      <alignment horizontal="center"/>
    </xf>
    <xf numFmtId="0" fontId="1" fillId="0" borderId="0" xfId="0" applyFont="1" applyAlignment="1">
      <alignment horizontal="center" wrapText="1"/>
    </xf>
    <xf numFmtId="0" fontId="2" fillId="0" borderId="0" xfId="1" applyAlignment="1">
      <alignment wrapText="1"/>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9" fillId="0" borderId="0" xfId="0" applyFont="1"/>
    <xf numFmtId="0" fontId="10" fillId="3" borderId="4" xfId="0" applyFont="1" applyFill="1" applyBorder="1" applyAlignment="1">
      <alignment horizontal="left"/>
    </xf>
    <xf numFmtId="0" fontId="11" fillId="3" borderId="4" xfId="0" applyFont="1" applyFill="1" applyBorder="1" applyAlignment="1">
      <alignment horizontal="left"/>
    </xf>
    <xf numFmtId="14" fontId="10" fillId="3" borderId="4" xfId="0" applyNumberFormat="1" applyFont="1" applyFill="1" applyBorder="1" applyAlignment="1">
      <alignment horizontal="left"/>
    </xf>
    <xf numFmtId="0" fontId="11" fillId="0" borderId="4" xfId="0" applyFont="1" applyBorder="1"/>
    <xf numFmtId="0" fontId="10" fillId="0" borderId="4" xfId="0" applyFont="1" applyBorder="1"/>
    <xf numFmtId="0" fontId="10" fillId="3" borderId="5" xfId="0" applyFont="1" applyFill="1" applyBorder="1" applyAlignment="1">
      <alignment horizontal="left"/>
    </xf>
    <xf numFmtId="0" fontId="11" fillId="3" borderId="5" xfId="0" applyFont="1" applyFill="1" applyBorder="1" applyAlignment="1">
      <alignment horizontal="left"/>
    </xf>
    <xf numFmtId="14" fontId="10" fillId="3" borderId="5" xfId="0" applyNumberFormat="1" applyFont="1" applyFill="1" applyBorder="1" applyAlignment="1">
      <alignment horizontal="left"/>
    </xf>
    <xf numFmtId="0" fontId="10" fillId="4" borderId="5" xfId="0" applyFont="1" applyFill="1" applyBorder="1" applyAlignment="1">
      <alignment horizontal="left"/>
    </xf>
    <xf numFmtId="0" fontId="11" fillId="4" borderId="5" xfId="0" applyFont="1" applyFill="1" applyBorder="1" applyAlignment="1">
      <alignment horizontal="left"/>
    </xf>
    <xf numFmtId="14" fontId="10" fillId="4" borderId="5" xfId="0" applyNumberFormat="1" applyFont="1" applyFill="1" applyBorder="1" applyAlignment="1">
      <alignment horizontal="left"/>
    </xf>
    <xf numFmtId="0" fontId="10" fillId="0" borderId="5" xfId="0" applyFont="1" applyBorder="1" applyAlignment="1">
      <alignment horizontal="left"/>
    </xf>
    <xf numFmtId="0" fontId="11" fillId="0" borderId="5" xfId="0" applyFont="1" applyBorder="1" applyAlignment="1">
      <alignment horizontal="left"/>
    </xf>
    <xf numFmtId="14" fontId="10" fillId="0" borderId="5" xfId="0" applyNumberFormat="1" applyFont="1" applyBorder="1" applyAlignment="1">
      <alignment horizontal="left"/>
    </xf>
    <xf numFmtId="0" fontId="12" fillId="0" borderId="0" xfId="0" applyFont="1"/>
    <xf numFmtId="0" fontId="13" fillId="0" borderId="0" xfId="0" applyFont="1"/>
    <xf numFmtId="0" fontId="0" fillId="0" borderId="1" xfId="0" applyBorder="1" applyAlignment="1">
      <alignment wrapText="1"/>
    </xf>
    <xf numFmtId="0" fontId="2" fillId="0" borderId="1" xfId="1" applyBorder="1" applyAlignment="1">
      <alignment wrapText="1"/>
    </xf>
    <xf numFmtId="0" fontId="2" fillId="0" borderId="6" xfId="1" applyBorder="1" applyAlignment="1">
      <alignment wrapText="1"/>
    </xf>
    <xf numFmtId="0" fontId="14" fillId="0" borderId="0" xfId="0" applyFont="1"/>
    <xf numFmtId="0" fontId="1" fillId="0" borderId="0" xfId="0" applyFont="1" applyAlignment="1">
      <alignment horizontal="center" vertical="center"/>
    </xf>
    <xf numFmtId="0" fontId="0" fillId="0" borderId="1" xfId="0" applyBorder="1" applyAlignment="1">
      <alignment horizontal="center"/>
    </xf>
    <xf numFmtId="0" fontId="0" fillId="0" borderId="1" xfId="0" applyBorder="1" applyAlignment="1">
      <alignment horizontal="left" wrapText="1"/>
    </xf>
    <xf numFmtId="0" fontId="15" fillId="0" borderId="0" xfId="0" applyFont="1"/>
    <xf numFmtId="0" fontId="0" fillId="0" borderId="0" xfId="0" quotePrefix="1" applyAlignment="1">
      <alignment wrapText="1"/>
    </xf>
    <xf numFmtId="0" fontId="2" fillId="0" borderId="0" xfId="1"/>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quotePrefix="1" applyAlignment="1">
      <alignment vertical="center" wrapText="1"/>
    </xf>
    <xf numFmtId="0" fontId="7" fillId="0" borderId="0" xfId="0" applyFont="1" applyAlignment="1">
      <alignment vertical="center" wrapText="1"/>
    </xf>
    <xf numFmtId="3" fontId="1" fillId="0" borderId="0" xfId="0" applyNumberFormat="1" applyFont="1" applyAlignment="1">
      <alignment horizontal="center" wrapText="1"/>
    </xf>
    <xf numFmtId="0" fontId="3" fillId="0" borderId="1" xfId="0" applyFont="1" applyBorder="1" applyAlignment="1">
      <alignment wrapText="1"/>
    </xf>
    <xf numFmtId="0" fontId="0" fillId="0" borderId="1" xfId="0" applyBorder="1"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18" fillId="0" borderId="0" xfId="0" quotePrefix="1" applyFont="1" applyAlignment="1">
      <alignment wrapText="1"/>
    </xf>
    <xf numFmtId="0" fontId="18" fillId="0" borderId="0" xfId="0" quotePrefix="1" applyFont="1" applyAlignment="1">
      <alignment vertical="center" wrapText="1"/>
    </xf>
    <xf numFmtId="0" fontId="18" fillId="0" borderId="0" xfId="0" applyFont="1" applyAlignment="1">
      <alignment vertical="center" wrapText="1"/>
    </xf>
    <xf numFmtId="0" fontId="7" fillId="0" borderId="0" xfId="0" applyFont="1" applyAlignment="1">
      <alignment horizontal="left" vertical="center" wrapText="1"/>
    </xf>
    <xf numFmtId="0" fontId="18" fillId="0" borderId="1" xfId="0" applyFont="1" applyBorder="1" applyAlignment="1">
      <alignment vertical="center" wrapText="1"/>
    </xf>
    <xf numFmtId="0" fontId="18" fillId="0" borderId="1" xfId="0" applyFont="1" applyBorder="1" applyAlignment="1">
      <alignment wrapText="1"/>
    </xf>
    <xf numFmtId="0" fontId="0" fillId="5" borderId="0" xfId="0" applyFill="1" applyAlignment="1">
      <alignment vertical="center"/>
    </xf>
    <xf numFmtId="3" fontId="0" fillId="0" borderId="0" xfId="0" quotePrefix="1" applyNumberFormat="1" applyAlignment="1">
      <alignment wrapText="1"/>
    </xf>
    <xf numFmtId="0" fontId="19" fillId="0" borderId="0" xfId="0" applyFont="1"/>
    <xf numFmtId="0" fontId="0" fillId="5" borderId="0" xfId="0" applyFill="1" applyAlignment="1">
      <alignment vertical="center" wrapText="1"/>
    </xf>
    <xf numFmtId="0" fontId="7" fillId="6" borderId="0" xfId="0" applyFont="1" applyFill="1"/>
    <xf numFmtId="0" fontId="7" fillId="6" borderId="0" xfId="0" quotePrefix="1" applyFont="1" applyFill="1"/>
    <xf numFmtId="0" fontId="20" fillId="6" borderId="0" xfId="0" applyFont="1" applyFill="1"/>
    <xf numFmtId="0" fontId="21" fillId="7" borderId="2" xfId="0" applyFont="1" applyFill="1" applyBorder="1" applyAlignment="1">
      <alignment horizontal="center" vertical="center"/>
    </xf>
    <xf numFmtId="0" fontId="21" fillId="7" borderId="3" xfId="0" applyFont="1" applyFill="1" applyBorder="1" applyAlignment="1">
      <alignment horizontal="center" vertical="center"/>
    </xf>
    <xf numFmtId="0" fontId="10" fillId="0" borderId="4" xfId="0" applyFont="1" applyBorder="1" applyAlignment="1">
      <alignment horizontal="left"/>
    </xf>
    <xf numFmtId="14" fontId="10" fillId="0" borderId="4" xfId="0" applyNumberFormat="1" applyFont="1" applyBorder="1"/>
    <xf numFmtId="0" fontId="8" fillId="8" borderId="0" xfId="0" applyFont="1" applyFill="1" applyAlignment="1">
      <alignment horizontal="center" vertical="center"/>
    </xf>
    <xf numFmtId="0" fontId="22" fillId="0" borderId="7" xfId="0" applyFont="1" applyBorder="1" applyAlignment="1">
      <alignment wrapText="1"/>
    </xf>
    <xf numFmtId="0" fontId="22" fillId="0" borderId="8" xfId="0" applyFont="1" applyBorder="1" applyAlignment="1">
      <alignment wrapText="1"/>
    </xf>
    <xf numFmtId="0" fontId="0" fillId="0" borderId="1" xfId="0" applyBorder="1" applyAlignment="1">
      <alignment vertical="center"/>
    </xf>
    <xf numFmtId="0" fontId="0" fillId="0" borderId="1" xfId="0" quotePrefix="1" applyBorder="1" applyAlignment="1">
      <alignment vertical="center" wrapText="1"/>
    </xf>
    <xf numFmtId="0" fontId="0" fillId="0" borderId="6" xfId="0" applyBorder="1" applyAlignment="1">
      <alignment vertical="center" wrapText="1"/>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2" fillId="0" borderId="5" xfId="1" applyBorder="1" applyAlignment="1">
      <alignment horizontal="left"/>
    </xf>
    <xf numFmtId="0" fontId="0" fillId="0" borderId="0" xfId="0" applyAlignment="1">
      <alignment horizontal="left"/>
    </xf>
    <xf numFmtId="0" fontId="24" fillId="0" borderId="0" xfId="0" applyFont="1"/>
    <xf numFmtId="0" fontId="26" fillId="0" borderId="0" xfId="0" quotePrefix="1" applyFont="1"/>
    <xf numFmtId="0" fontId="26" fillId="0" borderId="0" xfId="0" applyFont="1"/>
    <xf numFmtId="0" fontId="1" fillId="9" borderId="9" xfId="0" applyFont="1" applyFill="1" applyBorder="1" applyAlignment="1">
      <alignment vertical="top"/>
    </xf>
    <xf numFmtId="0" fontId="1" fillId="9" borderId="9" xfId="0" applyFont="1" applyFill="1" applyBorder="1" applyAlignment="1">
      <alignment vertical="top" wrapText="1"/>
    </xf>
    <xf numFmtId="0" fontId="1" fillId="0" borderId="9" xfId="0" applyFont="1" applyBorder="1" applyAlignment="1">
      <alignment vertical="top" wrapText="1"/>
    </xf>
    <xf numFmtId="0" fontId="0" fillId="0" borderId="9" xfId="0" applyBorder="1" applyAlignment="1">
      <alignment vertical="top" wrapText="1"/>
    </xf>
    <xf numFmtId="0" fontId="0" fillId="0" borderId="9" xfId="0" quotePrefix="1" applyBorder="1" applyAlignment="1">
      <alignment vertical="top" wrapText="1"/>
    </xf>
    <xf numFmtId="0" fontId="0" fillId="0" borderId="0" xfId="0" applyAlignment="1">
      <alignment vertical="top"/>
    </xf>
    <xf numFmtId="0" fontId="16" fillId="0" borderId="9" xfId="0" quotePrefix="1" applyFont="1" applyBorder="1" applyAlignment="1">
      <alignment vertical="top" wrapText="1"/>
    </xf>
    <xf numFmtId="0" fontId="1" fillId="9" borderId="11" xfId="0" applyFont="1" applyFill="1" applyBorder="1" applyAlignment="1">
      <alignment vertical="top" wrapText="1"/>
    </xf>
    <xf numFmtId="0" fontId="29" fillId="0" borderId="9" xfId="0" applyFont="1" applyBorder="1" applyAlignment="1">
      <alignment vertical="top" wrapText="1"/>
    </xf>
    <xf numFmtId="0" fontId="0" fillId="0" borderId="12" xfId="0" applyBorder="1" applyAlignment="1">
      <alignment vertical="top" wrapText="1"/>
    </xf>
    <xf numFmtId="0" fontId="0" fillId="0" borderId="13" xfId="0" applyBorder="1"/>
    <xf numFmtId="0" fontId="0" fillId="0" borderId="9" xfId="0" applyBorder="1"/>
    <xf numFmtId="0" fontId="0" fillId="0" borderId="9" xfId="0" applyBorder="1" applyAlignment="1">
      <alignment wrapText="1"/>
    </xf>
    <xf numFmtId="0" fontId="0" fillId="0" borderId="14" xfId="0" applyBorder="1"/>
    <xf numFmtId="0" fontId="0" fillId="0" borderId="15" xfId="0" applyBorder="1" applyAlignment="1">
      <alignment horizontal="center" vertical="center"/>
    </xf>
    <xf numFmtId="0" fontId="0" fillId="0" borderId="16" xfId="0" applyBorder="1" applyAlignment="1">
      <alignment horizontal="center" vertical="center"/>
    </xf>
    <xf numFmtId="0" fontId="0" fillId="0" borderId="1" xfId="0" quotePrefix="1" applyBorder="1" applyAlignment="1">
      <alignment wrapText="1"/>
    </xf>
    <xf numFmtId="0" fontId="0" fillId="0" borderId="6" xfId="0" applyBorder="1" applyAlignment="1">
      <alignment wrapText="1"/>
    </xf>
    <xf numFmtId="0" fontId="0" fillId="0" borderId="10" xfId="0" applyBorder="1"/>
    <xf numFmtId="14" fontId="0" fillId="0" borderId="0" xfId="0" applyNumberFormat="1" applyAlignment="1">
      <alignment horizontal="center" vertical="center" wrapText="1"/>
    </xf>
    <xf numFmtId="0" fontId="0" fillId="0" borderId="0" xfId="0" applyAlignment="1">
      <alignment horizontal="left"/>
    </xf>
    <xf numFmtId="0" fontId="0" fillId="0" borderId="0" xfId="0" quotePrefix="1" applyAlignment="1">
      <alignment horizontal="left" vertical="top" wrapText="1"/>
    </xf>
    <xf numFmtId="0" fontId="0" fillId="0" borderId="0" xfId="0" applyAlignment="1">
      <alignment horizontal="left" wrapText="1"/>
    </xf>
  </cellXfs>
  <cellStyles count="2">
    <cellStyle name="Hyperlink" xfId="1" builtinId="8"/>
    <cellStyle name="Normal" xfId="0" builtinId="0"/>
  </cellStyles>
  <dxfs count="98">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alignment horizontal="center" vertical="center" textRotation="0" wrapText="0" indent="0" justifyLastLine="0" shrinkToFit="0" readingOrder="0"/>
      <border diagonalUp="0" diagonalDown="0">
        <left/>
        <right style="thin">
          <color theme="4"/>
        </right>
        <top style="thin">
          <color theme="4"/>
        </top>
        <bottom/>
        <vertical/>
        <horizontal/>
      </border>
    </dxf>
    <dxf>
      <font>
        <b/>
      </font>
      <alignment horizontal="center" vertical="center"/>
    </dxf>
    <dxf>
      <alignment horizontal="general" vertical="center" textRotation="0" wrapText="0" indent="0" justifyLastLine="0" shrinkToFit="0" readingOrder="0"/>
    </dxf>
    <dxf>
      <font>
        <b val="0"/>
      </font>
      <alignment horizontal="general" vertical="bottom" textRotation="0" wrapText="0" indent="0" justifyLastLine="0" shrinkToFit="0" readingOrder="0"/>
    </dxf>
    <dxf>
      <font>
        <b val="0"/>
        <i val="0"/>
        <strike val="0"/>
        <condense val="0"/>
        <extend val="0"/>
        <outline val="0"/>
        <shadow val="0"/>
        <u/>
        <vertAlign val="baseline"/>
        <sz val="11"/>
        <color theme="10"/>
        <name val="Aptos Narrow"/>
        <family val="2"/>
        <scheme val="minor"/>
      </font>
      <alignment horizontal="general" vertical="bottom"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right/>
        <top style="thin">
          <color theme="4"/>
        </top>
        <bottom/>
        <vertical/>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top style="thin">
          <color theme="4"/>
        </top>
        <bottom/>
        <vertical/>
        <horizontal/>
      </border>
    </dxf>
    <dxf>
      <alignment horizontal="general" vertical="bottom" textRotation="0" wrapText="0" indent="0" justifyLastLine="0" shrinkToFit="0" readingOrder="0"/>
    </dxf>
    <dxf>
      <alignment horizontal="general" vertical="bottom" textRotation="0" wrapText="0" indent="0" justifyLastLine="0" shrinkToFit="0" readingOrder="0"/>
    </dxf>
    <dxf>
      <alignment wrapText="1"/>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font>
    </dxf>
    <dxf>
      <alignment horizontal="general" vertical="bottom" textRotation="0" wrapText="1" indent="0" justifyLastLine="0" shrinkToFit="0" readingOrder="0"/>
      <border diagonalUp="0" diagonalDown="0">
        <left/>
        <right/>
        <top style="thin">
          <color theme="4"/>
        </top>
        <bottom/>
        <vertical/>
        <horizontal/>
      </border>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rgb="FF69006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bottom style="medium">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Segoe UI"/>
        <family val="2"/>
        <scheme val="none"/>
      </font>
      <fill>
        <patternFill patternType="solid">
          <fgColor indexed="64"/>
          <bgColor theme="4" tint="0.59999389629810485"/>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bottom style="medium">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theme="4" tint="-0.249977111117893"/>
        </patternFill>
      </fill>
      <alignment horizontal="center" vertical="center" textRotation="0" wrapText="0" indent="0" justifyLastLine="0" shrinkToFit="0" readingOrder="0"/>
      <border diagonalUp="0" diagonalDown="0" outline="0">
        <left/>
        <right/>
        <top/>
        <bottom/>
      </border>
    </dxf>
    <dxf>
      <numFmt numFmtId="19" formatCode="dd/mm/yyyy"/>
      <alignment horizontal="center" vertical="center" textRotation="0" wrapText="1" indent="0" justifyLastLine="0" shrinkToFit="0" readingOrder="0"/>
    </dxf>
    <dxf>
      <alignment horizontal="center" vertical="center"/>
    </dxf>
    <dxf>
      <alignment vertical="center"/>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alignment vertical="center"/>
    </dxf>
    <dxf>
      <alignment vertical="center"/>
    </dxf>
    <dxf>
      <alignment horizontal="center"/>
    </dxf>
    <dxf>
      <alignment vertical="center"/>
    </dxf>
    <dxf>
      <alignment horizontal="center" vertical="center"/>
    </dxf>
    <dxf>
      <alignment wrapText="1"/>
    </dxf>
    <dxf>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outline="0">
        <left style="thin">
          <color rgb="FF000000"/>
        </left>
      </border>
    </dxf>
    <dxf>
      <alignment wrapText="1"/>
    </dxf>
    <dxf>
      <alignment wrapText="1"/>
    </dxf>
    <dxf>
      <alignment horizontal="general" vertical="bottom" textRotation="0" wrapText="1" indent="0" justifyLastLine="0" shrinkToFit="0" readingOrder="0"/>
    </dxf>
    <dxf>
      <alignment wrapText="1"/>
    </dxf>
    <dxf>
      <alignment wrapText="1"/>
    </dxf>
    <dxf>
      <numFmt numFmtId="3" formatCode="#,##0"/>
      <alignment horizontal="general" vertical="bottom" textRotation="0" wrapText="1" indent="0" justifyLastLine="0" shrinkToFit="0" readingOrder="0"/>
    </dxf>
    <dxf>
      <numFmt numFmtId="3" formatCode="#,##0"/>
      <alignment wrapText="1"/>
    </dxf>
    <dxf>
      <alignment wrapText="1"/>
    </dxf>
    <dxf>
      <alignment wrapText="1"/>
    </dxf>
    <dxf>
      <alignment horizontal="general" vertical="bottom" textRotation="0" wrapText="1" indent="0" justifyLastLine="0" shrinkToFit="0" readingOrder="0"/>
    </dxf>
    <dxf>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
      <font>
        <b/>
      </font>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1" indent="0" justifyLastLine="0" shrinkToFit="0" readingOrder="0"/>
    </dxf>
    <dxf>
      <font>
        <b/>
      </font>
      <numFmt numFmtId="3" formatCode="#,##0"/>
      <alignment horizontal="center" vertical="bottom" textRotation="0" wrapText="1" indent="0" justifyLastLine="0" shrinkToFit="0" readingOrder="0"/>
    </dxf>
    <dxf>
      <alignment wrapText="1"/>
    </dxf>
    <dxf>
      <font>
        <b/>
      </font>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wrapText="1"/>
    </dxf>
    <dxf>
      <font>
        <b val="0"/>
        <i val="0"/>
        <strike val="0"/>
        <condense val="0"/>
        <extend val="0"/>
        <outline val="0"/>
        <shadow val="0"/>
        <u val="none"/>
        <vertAlign val="baseline"/>
        <sz val="11"/>
        <color theme="1"/>
        <name val="Aptos Narrow"/>
        <family val="2"/>
        <scheme val="minor"/>
      </font>
      <numFmt numFmtId="0" formatCode="General"/>
      <alignment horizontal="center" vertical="bottom" textRotation="0" wrapText="1" indent="0" justifyLastLine="0" shrinkToFit="0" readingOrder="0"/>
    </dxf>
    <dxf>
      <alignment wrapText="1"/>
    </dxf>
    <dxf>
      <font>
        <b/>
        <i val="0"/>
        <strike val="0"/>
        <condense val="0"/>
        <extend val="0"/>
        <outline val="0"/>
        <shadow val="0"/>
        <u val="none"/>
        <vertAlign val="baseline"/>
        <sz val="11"/>
        <color theme="1"/>
        <name val="Aptos Narrow"/>
        <family val="2"/>
        <scheme val="minor"/>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y Đào Thị Trà" id="{D522C927-7CA7-4DC2-834B-4DA254452569}" userId="S::mydtt@datapot.edu.vn::6375011c-c848-4913-9440-c9c33073477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7E063C-B4FC-475F-B59A-75E087957F8A}" name="Table8" displayName="Table8" ref="A5:W35" totalsRowShown="0" headerRowDxfId="94" dataDxfId="93">
  <autoFilter ref="A5:W35" xr:uid="{FA7E063C-B4FC-475F-B59A-75E087957F8A}"/>
  <sortState xmlns:xlrd2="http://schemas.microsoft.com/office/spreadsheetml/2017/richdata2" ref="A6:U32">
    <sortCondition ref="A5:A32"/>
  </sortState>
  <tableColumns count="23">
    <tableColumn id="9" xr3:uid="{2E35FEE2-B4B7-4B54-BAC1-3F262D3A4501}" name="#" dataDxfId="92">
      <calculatedColumnFormula>ROW()-5</calculatedColumnFormula>
    </tableColumn>
    <tableColumn id="1" xr3:uid="{7BEE0728-0DC1-4764-B6DD-DFEDF2A086B5}" name="product_code" dataDxfId="91"/>
    <tableColumn id="23" xr3:uid="{F03327D7-9DCA-4A9D-A99F-B69F1E604B1E}" name="display_code" dataDxfId="90"/>
    <tableColumn id="3" xr3:uid="{4466F42D-2CC3-43E1-8C23-546C6C3542C8}" name="product_name" dataDxfId="89"/>
    <tableColumn id="2" xr3:uid="{6BF485F5-7BC0-4842-8CC8-9E06F7BFB851}" name="full_product_name" dataDxfId="88"/>
    <tableColumn id="5" xr3:uid="{28AE2AB9-223B-4C84-B2E7-9835E5A46DA5}" name="Status" dataDxfId="87"/>
    <tableColumn id="24" xr3:uid="{1A11DCD4-1B28-403A-B301-976A08FABB6B}" name="product_type" dataDxfId="86"/>
    <tableColumn id="30" xr3:uid="{8DD7FAB5-090F-4250-872C-4D9B60450ABC}" name="short_description" dataDxfId="85"/>
    <tableColumn id="4" xr3:uid="{797C88DA-35DB-4033-8ED3-821D9D32C8EB}" name="Provider" dataDxfId="84"/>
    <tableColumn id="15" xr3:uid="{006FA375-702F-4FDE-98EB-A48FA311E39F}" name="Certificate_Type" dataDxfId="83"/>
    <tableColumn id="29" xr3:uid="{27C64CC0-C66E-43C0-A068-388091542DE9}" name="MS_Credential" dataDxfId="82"/>
    <tableColumn id="28" xr3:uid="{D12AB672-7877-4D1E-8731-CD0B3484862A}" name="Project" dataDxfId="81"/>
    <tableColumn id="6" xr3:uid="{2E3E3C85-02C8-41EE-AD30-1414F2CF41B3}" name="Level" dataDxfId="80"/>
    <tableColumn id="12" xr3:uid="{F8117F9B-7720-4130-A08B-AABB3957417D}" name="Prerequisites" dataDxfId="79"/>
    <tableColumn id="7" xr3:uid="{72E9808D-A953-4BFB-A2FB-0696E256AFAC}" name="Delivery" dataDxfId="78"/>
    <tableColumn id="8" xr3:uid="{431332F4-FFC6-45B5-9D27-8802CECE9789}" name="Duration" dataDxfId="77"/>
    <tableColumn id="10" xr3:uid="{CC5AA54F-DDA5-41B8-8206-5783694BB66F}" name="Price (VND)" dataDxfId="76"/>
    <tableColumn id="21" xr3:uid="{4EA00FA1-49B6-4D72-BA26-D594468C9270}" name="course_objectives" dataDxfId="75"/>
    <tableColumn id="11" xr3:uid="{B7033CFB-DF6A-4D9E-A974-EB6E74A1C38D}" name="Target Audience" dataDxfId="74"/>
    <tableColumn id="14" xr3:uid="{894B6FD7-C5BC-44C5-B131-DBB896D76FE8}" name="Curriculum Outline" dataDxfId="73"/>
    <tableColumn id="13" xr3:uid="{AFAC5022-C059-4D8D-B1C6-0F103AD4E5DA}" name="Outcomes/Skills" dataDxfId="72"/>
    <tableColumn id="20" xr3:uid="{D29B201A-6EE4-419E-9419-0C26B6CD3336}" name="Main Source URL(s)" dataDxfId="71"/>
    <tableColumn id="16" xr3:uid="{F9793201-0FFD-4198-A138-23AA46848903}" name="Alias" dataDxfId="7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51B94C2-DF21-4E96-BBA9-44D6A5C1D138}" name="Table15" displayName="Table15" ref="A5:E22" totalsRowShown="0" tableBorderDxfId="69">
  <autoFilter ref="A5:E22" xr:uid="{B51B94C2-DF21-4E96-BBA9-44D6A5C1D138}"/>
  <tableColumns count="5">
    <tableColumn id="5" xr3:uid="{7ADE664D-3CFE-4AA9-B75E-F935C6E11241}" name="#" dataDxfId="68"/>
    <tableColumn id="4" xr3:uid="{F5089C8E-C2A4-4A7B-B97D-F235E3FAAF72}" name="GroupID"/>
    <tableColumn id="1" xr3:uid="{B1554B62-20E0-41AE-B932-AC59BAF1D9CC}" name="Group" dataDxfId="67"/>
    <tableColumn id="2" xr3:uid="{F1F067ED-772D-4628-A8C2-813ED14B2495}" name="Type" dataDxfId="66"/>
    <tableColumn id="3" xr3:uid="{8DAD4BEE-C453-40AD-8DD6-6879D0F187D9}" name="Def" dataDxfId="65"/>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469FED-FAE4-4A2C-977D-9EF47C434894}" name="Table9" displayName="Table9" ref="A6:H31" totalsRowShown="0" headerRowDxfId="64" dataDxfId="63">
  <autoFilter ref="A6:H31" xr:uid="{C0469FED-FAE4-4A2C-977D-9EF47C434894}"/>
  <tableColumns count="8">
    <tableColumn id="4" xr3:uid="{5A108B8F-67CD-4FEF-AD64-97228BC5D768}" name="#" dataDxfId="62">
      <calculatedColumnFormula>ROW() - ROW(#REF!)</calculatedColumnFormula>
    </tableColumn>
    <tableColumn id="1" xr3:uid="{8343C340-E900-413E-9C02-5327524E3358}" name="Question" dataDxfId="61"/>
    <tableColumn id="2" xr3:uid="{AF665CD5-443D-4AB8-9CCB-5E41AF85D829}" name="Details" dataDxfId="60"/>
    <tableColumn id="5" xr3:uid="{9AC566BA-4058-4285-88F8-9881DFB4DB78}" name="Questioner" dataDxfId="59"/>
    <tableColumn id="6" xr3:uid="{53D716B0-3984-4D4C-9A9F-202ADBCBD78D}" name="Question Date" dataDxfId="58"/>
    <tableColumn id="3" xr3:uid="{41F9686E-68D6-4743-A009-A24FB40561FC}" name="Answer" dataDxfId="57"/>
    <tableColumn id="7" xr3:uid="{E0C888A1-20BA-4C11-A94B-70020F57D395}" name="Respondent" dataDxfId="56"/>
    <tableColumn id="8" xr3:uid="{419565D9-076F-41D8-B11C-45D541694D6F}" name="Response date" dataDxfId="55"/>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E86674-04EB-4DE8-A852-ED7B8D2A6B35}" name="TitlePlan" displayName="TitlePlan" ref="A1:P130" totalsRowShown="0" headerRowDxfId="54" dataDxfId="53" headerRowBorderDxfId="51" tableBorderDxfId="52">
  <autoFilter ref="A1:P130" xr:uid="{BAE86674-04EB-4DE8-A852-ED7B8D2A6B35}"/>
  <sortState xmlns:xlrd2="http://schemas.microsoft.com/office/spreadsheetml/2017/richdata2" ref="A2:P130">
    <sortCondition ref="B2:B130"/>
  </sortState>
  <tableColumns count="16">
    <tableColumn id="1" xr3:uid="{9EF1D6FC-90B2-410F-98E6-C872054C2D6F}" name="Solution Area" dataDxfId="50"/>
    <tableColumn id="2" xr3:uid="{445921A5-A479-4CF3-8902-70D65E577A87}" name="Course Number" dataDxfId="49"/>
    <tableColumn id="3" xr3:uid="{E1E42CA7-D210-4F27-BD3F-BBB5A18D7D8E}" name="Title" dataDxfId="48"/>
    <tableColumn id="4" xr3:uid="{65B0FE04-2C51-4BC5-BE7A-F5D4314F83A6}" name="Duration" dataDxfId="47"/>
    <tableColumn id="5" xr3:uid="{AD42BADC-ABB4-4C53-B40B-0E89EFBBBAC5}" name="Credential" dataDxfId="46"/>
    <tableColumn id="6" xr3:uid="{33910A88-F31D-4B00-A76B-E138DDB59C03}" name="Detail Page Type" dataDxfId="45"/>
    <tableColumn id="7" xr3:uid="{34C72658-E0F5-4AC7-9EB7-DF48050C9BB6}" name="Detail Page Url" dataDxfId="44"/>
    <tableColumn id="8" xr3:uid="{04C9AAD6-FDD3-49F4-8100-DAC3576B6C7D}" name="Partner Program Value" dataDxfId="43"/>
    <tableColumn id="9" xr3:uid="{2FD87634-D586-4514-9919-04CABE4C4094}" name="Pub Type" dataDxfId="42"/>
    <tableColumn id="10" xr3:uid="{5BCF7684-9172-4775-BD1C-A9F62330746B}" name="Scope" dataDxfId="41"/>
    <tableColumn id="11" xr3:uid="{244BBA3E-EAEE-4172-9D31-BB2FF152B05B}" name="Release Date" dataDxfId="40"/>
    <tableColumn id="12" xr3:uid="{ECA7D9C9-F28C-4A32-B47E-D17555AA1306}" name="Title Plan Note" dataDxfId="39"/>
    <tableColumn id="13" xr3:uid="{1172E677-6111-43C6-AE09-2F402E1B1753}" name="State" dataDxfId="38"/>
    <tableColumn id="14" xr3:uid="{1B5EB2B1-DDE6-418E-8066-9574A4C1A7AF}" name="Retire Date" dataDxfId="37"/>
    <tableColumn id="15" xr3:uid="{8DD130D7-376E-4342-B481-A05D6B36061E}" name="Course Contains" dataDxfId="36"/>
    <tableColumn id="16" xr3:uid="{35541F03-C09A-4CED-982F-C7233ED90996}" name="Lab Hosting" dataDxfId="35"/>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2E6DE4-7277-49BC-9F7C-C94D3456F366}" name="ExamsTab" displayName="ExamsTab" ref="A1:D47" totalsRowShown="0" headerRowDxfId="34" dataDxfId="33" headerRowBorderDxfId="31" tableBorderDxfId="32" totalsRowBorderDxfId="30">
  <autoFilter ref="A1:D47" xr:uid="{7B2E6DE4-7277-49BC-9F7C-C94D3456F366}"/>
  <sortState xmlns:xlrd2="http://schemas.microsoft.com/office/spreadsheetml/2017/richdata2" ref="A2:D47">
    <sortCondition ref="A2:A47"/>
  </sortState>
  <tableColumns count="4">
    <tableColumn id="1" xr3:uid="{0498CA1D-9B09-4F5B-B88F-61E83C85480B}" name="Exam Number" dataDxfId="29"/>
    <tableColumn id="2" xr3:uid="{462C6DAD-1B63-42BF-A185-4E598537DB68}" name="Exam Name" dataDxfId="28"/>
    <tableColumn id="3" xr3:uid="{FD5E68F8-2943-4A0C-9E08-958D144A12D2}" name="Certification Name" dataDxfId="27"/>
    <tableColumn id="4" xr3:uid="{ABC66151-E29E-420C-AB33-3DCE3E22E76A}" name="Exam Url" dataDxfId="26"/>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4949BBC-021D-4AD9-8872-C749610E45BF}" name="AppliedSkills" displayName="AppliedSkills" ref="A1:E37" totalsRowShown="0" headerRowDxfId="25" dataDxfId="24" tableBorderDxfId="23">
  <autoFilter ref="A1:E37" xr:uid="{C4949BBC-021D-4AD9-8872-C749610E45BF}"/>
  <sortState xmlns:xlrd2="http://schemas.microsoft.com/office/spreadsheetml/2017/richdata2" ref="A2:E37">
    <sortCondition ref="A2:A37"/>
  </sortState>
  <tableColumns count="5">
    <tableColumn id="1" xr3:uid="{E094D7F4-C999-4112-9CA5-24B7B746B8B3}" name="Course Number" dataDxfId="22"/>
    <tableColumn id="2" xr3:uid="{938CDB8D-D282-4E78-96B2-18F8D0093788}" name="Credential Name" dataDxfId="21"/>
    <tableColumn id="3" xr3:uid="{C5D4C876-7B82-4F63-A2E4-F7E895403B86}" name="State" dataDxfId="20"/>
    <tableColumn id="4" xr3:uid="{BEDC6C28-1087-4CE9-B3DC-494AEFD6E1DF}" name="Assesment Url" dataDxfId="19"/>
    <tableColumn id="7" xr3:uid="{C5109731-5725-409D-AB15-697E14153A7D}" name="Retire Date" dataDxfId="18"/>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C0B978B-D2D7-41EA-A959-CCBFE89ECEB9}" name="Table10" displayName="Table10" ref="A42:E45" totalsRowShown="0" headerRowDxfId="17">
  <autoFilter ref="A42:E45" xr:uid="{6C0B978B-D2D7-41EA-A959-CCBFE89ECEB9}"/>
  <tableColumns count="5">
    <tableColumn id="1" xr3:uid="{3CCFACB4-C99C-41A0-8467-F8C455512BEF}" name="Column1" dataDxfId="16"/>
    <tableColumn id="2" xr3:uid="{BC3798C3-83F9-4624-95C9-3EE7B8F1F286}" name="Trang cần sửa"/>
    <tableColumn id="3" xr3:uid="{55D6D431-64A7-4B6D-92D4-9B065105209C}" name="Thao tác cần làm"/>
    <tableColumn id="4" xr3:uid="{5DA5C255-2F07-44C5-82FC-593525796F44}" name="Chi tiết chỉnh sửa" dataDxfId="15"/>
    <tableColumn id="5" xr3:uid="{111890D0-00C6-4639-9675-3976FFA550C2}" name="Nguồn hiện tại" dataDxfId="14"/>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983F7A9-0539-4001-91F2-4C8D6A47EE23}" name="Table11" displayName="Table11" ref="A50:D54" totalsRowShown="0" headerRowDxfId="13">
  <autoFilter ref="A50:D54" xr:uid="{A983F7A9-0539-4001-91F2-4C8D6A47EE23}"/>
  <tableColumns count="4">
    <tableColumn id="1" xr3:uid="{10A862B4-EDAE-489C-8EA5-23288D8610CA}" name="Column1" dataDxfId="12"/>
    <tableColumn id="2" xr3:uid="{319C6E36-D610-4283-B8E3-E672C4247812}" name="Đầu việc"/>
    <tableColumn id="3" xr3:uid="{CFD4727A-DFB4-44E3-9E65-BB031E94585E}" name="Thao tác cần làm"/>
    <tableColumn id="4" xr3:uid="{E4E49529-CF8F-4256-A2D6-C86FFAAF0701}" name="Mục đích" dataDxfId="11"/>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DB13108-1961-4E9E-BAFF-FB8C7A4F3E7B}" name="Table1215" displayName="Table1215" ref="A8:H35" totalsRowShown="0" headerRowDxfId="10">
  <autoFilter ref="A8:H35" xr:uid="{8DB13108-1961-4E9E-BAFF-FB8C7A4F3E7B}"/>
  <tableColumns count="8">
    <tableColumn id="1" xr3:uid="{70883943-0D52-4985-A8E7-7C498990D140}" name="STT" dataDxfId="9"/>
    <tableColumn id="2" xr3:uid="{3914CE88-3E1E-48C1-8778-064A529E2EC5}" name="Product_Code" dataDxfId="8"/>
    <tableColumn id="3" xr3:uid="{A3590525-876A-4DBD-8835-02E3554EC1C4}" name="rpoduct_name" dataDxfId="7"/>
    <tableColumn id="4" xr3:uid="{39C4DEF2-A79C-4FE8-B2E6-BB64AD45A480}" name="Link" dataDxfId="6" dataCellStyle="Hyperlink"/>
    <tableColumn id="5" xr3:uid="{299002F0-F317-40A5-B398-D344954D1752}" name="Đầu việc cụ thể cần thực hiện" dataDxfId="5"/>
    <tableColumn id="6" xr3:uid="{F31E27F5-BD55-4FCC-9CFF-221E2DFD8CD8}" name="Nội dung: Hiện tại &gt;&gt; Mới" dataDxfId="4"/>
    <tableColumn id="7" xr3:uid="{8E3BD2DD-6848-476E-ADEE-9265025F5000}" name="Code_Display" dataDxfId="3"/>
    <tableColumn id="8" xr3:uid="{DFA0DA9D-5286-4B8F-B478-C57CD872470B}" name="Column1" dataDxfId="2"/>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CD4DFA-0963-4DA5-A59D-EA8D967BB046}" name="Table115" displayName="Table115" ref="A60:E64" totalsRowShown="0" headerRowDxfId="1">
  <autoFilter ref="A60:E64" xr:uid="{B6CD4DFA-0963-4DA5-A59D-EA8D967BB046}"/>
  <tableColumns count="5">
    <tableColumn id="1" xr3:uid="{9ADAF82C-6869-4434-A485-12D9A1201260}" name="Column1" dataDxfId="0"/>
    <tableColumn id="2" xr3:uid="{0312E794-BE11-4E26-970B-4B9116299034}" name="Đầu việc"/>
    <tableColumn id="3" xr3:uid="{170AA347-C02D-4DFB-AA95-0E2B5B3EC018}" name="Thao tác cần làm"/>
    <tableColumn id="4" xr3:uid="{184629F1-A083-406A-BF6E-397A7569954B}" name="Ghi chú"/>
    <tableColumn id="5" xr3:uid="{40CF06D6-E58F-4F09-9967-A5F8B6AFF487}" name="Phương á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5" dT="2026-01-30T08:05:02.15" personId="{D522C927-7CA7-4DC2-834B-4DA254452569}" id="{65C2318F-90D8-44CB-809E-3A003B81215C}">
    <text xml:space="preserve">Sao không gom 5 bảng này thành 1 bảng nhỉ? Cân nhắc đánh mã cho các khái niệm. </text>
  </threadedComment>
</ThreadedComments>
</file>

<file path=xl/worksheets/_rels/sheet3.xml.rels><?xml version="1.0" encoding="UTF-8" standalone="yes"?>
<Relationships xmlns="http://schemas.openxmlformats.org/package/2006/relationships"><Relationship Id="rId8" Type="http://schemas.openxmlformats.org/officeDocument/2006/relationships/hyperlink" Target="https://datapot.vn/khoa-hoc/combo-power-bi-sql/" TargetMode="External"/><Relationship Id="rId13" Type="http://schemas.openxmlformats.org/officeDocument/2006/relationships/hyperlink" Target="https://datapot.vn/khoa-hoc/dafp-data-analytics-foundation-plus/" TargetMode="External"/><Relationship Id="rId18" Type="http://schemas.openxmlformats.org/officeDocument/2006/relationships/hyperlink" Target="https://datapot.vn/khoa-hoc/digital-business-analyst-program/" TargetMode="External"/><Relationship Id="rId26" Type="http://schemas.openxmlformats.org/officeDocument/2006/relationships/hyperlink" Target="https://datapot.vn/khoa-hoc/ms-900-microsoft-365-fundamentals/" TargetMode="External"/><Relationship Id="rId3" Type="http://schemas.openxmlformats.org/officeDocument/2006/relationships/hyperlink" Target="https://datapot.vn/khoa-hoc/pl-300-analyzing-data-with-power-bi/" TargetMode="External"/><Relationship Id="rId21" Type="http://schemas.openxmlformats.org/officeDocument/2006/relationships/hyperlink" Target="https://datapot.vn/khoa-hoc/career-success-guide/" TargetMode="External"/><Relationship Id="rId7" Type="http://schemas.openxmlformats.org/officeDocument/2006/relationships/hyperlink" Target="https://datapot.vn/khoa-hoc/advanced-query-with-t-sql/" TargetMode="External"/><Relationship Id="rId12" Type="http://schemas.openxmlformats.org/officeDocument/2006/relationships/hyperlink" Target="https://datapot.vn/khoa-hoc/combo-sql-from-zero-to-hero/" TargetMode="External"/><Relationship Id="rId17" Type="http://schemas.openxmlformats.org/officeDocument/2006/relationships/hyperlink" Target="https://datapot.vn/khoa-hoc/pl-7001-create-and-manage-canvas-apps-with-power-apps/" TargetMode="External"/><Relationship Id="rId25" Type="http://schemas.openxmlformats.org/officeDocument/2006/relationships/hyperlink" Target="https://datapot.vn/khoa-hoc/fundamentals-business-analyst-skills/" TargetMode="External"/><Relationship Id="rId2" Type="http://schemas.openxmlformats.org/officeDocument/2006/relationships/hyperlink" Target="https://datapot.vn/khoa-hoc/ai900-microsoft-azure-ai-fundamentals/" TargetMode="External"/><Relationship Id="rId16" Type="http://schemas.openxmlformats.org/officeDocument/2006/relationships/hyperlink" Target="https://datapot.vn/khoa-hoc/pl-7002-create-and-manage-automated-processes-by-using-power-automate/" TargetMode="External"/><Relationship Id="rId20" Type="http://schemas.openxmlformats.org/officeDocument/2006/relationships/hyperlink" Target="https://datapot.vn/khoa-hoc/dp-600-implementing-analytics-solutions-using-microsoft-fabric/" TargetMode="External"/><Relationship Id="rId1" Type="http://schemas.openxmlformats.org/officeDocument/2006/relationships/hyperlink" Target="https://datapot.vn/khoa-hoc/dp-080-querying-data-with-microsoft-t-sql/" TargetMode="External"/><Relationship Id="rId6" Type="http://schemas.openxmlformats.org/officeDocument/2006/relationships/hyperlink" Target="https://datapot.vn/khoa-hoc/data-fundamentals/" TargetMode="External"/><Relationship Id="rId11" Type="http://schemas.openxmlformats.org/officeDocument/2006/relationships/hyperlink" Target="https://datapot.vn/khoa-hoc/optimize-business-process-power-automate/" TargetMode="External"/><Relationship Id="rId24" Type="http://schemas.openxmlformats.org/officeDocument/2006/relationships/hyperlink" Target="https://datapot.vn/khoa-hoc/power-bi-advanced-data-modeling-and-dax/" TargetMode="External"/><Relationship Id="rId5" Type="http://schemas.openxmlformats.org/officeDocument/2006/relationships/hyperlink" Target="https://datapot.vn/khoa-hoc/python-for-data-analytics-pyda/" TargetMode="External"/><Relationship Id="rId15" Type="http://schemas.openxmlformats.org/officeDocument/2006/relationships/hyperlink" Target="https://datapot.vn/khoa-hoc/digital-business-analyst-skills/" TargetMode="External"/><Relationship Id="rId23" Type="http://schemas.openxmlformats.org/officeDocument/2006/relationships/hyperlink" Target="https://datapot.vn/khoa-hoc/cda-data-analytics-preparation/" TargetMode="External"/><Relationship Id="rId10" Type="http://schemas.openxmlformats.org/officeDocument/2006/relationships/hyperlink" Target="https://datapot.vn/khoa-hoc/excel-for-data-analytics/" TargetMode="External"/><Relationship Id="rId19" Type="http://schemas.openxmlformats.org/officeDocument/2006/relationships/hyperlink" Target="https://datapot.vn/khoa-hoc/exqp-power-excel-mastery-query-pivot-essentials/" TargetMode="External"/><Relationship Id="rId4" Type="http://schemas.openxmlformats.org/officeDocument/2006/relationships/hyperlink" Target="https://datapot.vn/khoa-hoc/data-analytics-foundation-daf/" TargetMode="External"/><Relationship Id="rId9" Type="http://schemas.openxmlformats.org/officeDocument/2006/relationships/hyperlink" Target="https://datapot.vn/khoa-hoc/mcev-microsoft-certification-exam-voucher/" TargetMode="External"/><Relationship Id="rId14" Type="http://schemas.openxmlformats.org/officeDocument/2006/relationships/hyperlink" Target="https://datapot.vn/khoa-hoc/storytelling-with-powerpoint/" TargetMode="External"/><Relationship Id="rId22" Type="http://schemas.openxmlformats.org/officeDocument/2006/relationships/hyperlink" Target="https://datapot.vn/khoa-hoc/instructional-skills-for-tech-trainer/" TargetMode="External"/><Relationship Id="rId27"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hyperlink" Target="https://docs.microsoft.com/learn/certifications/exams/PL-400" TargetMode="External"/><Relationship Id="rId2" Type="http://schemas.openxmlformats.org/officeDocument/2006/relationships/hyperlink" Target="https://docs.microsoft.com/learn/certifications/exams/AI-102" TargetMode="External"/><Relationship Id="rId1" Type="http://schemas.openxmlformats.org/officeDocument/2006/relationships/hyperlink" Target="https://learn.microsoft.com/credentials/certifications/agentic-ai-business-solutions-architect" TargetMode="Externa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3" Type="http://schemas.openxmlformats.org/officeDocument/2006/relationships/hyperlink" Target="https://datapot.vn/khoa-hoc/optimize-business-process-power-automate/" TargetMode="External"/><Relationship Id="rId18" Type="http://schemas.openxmlformats.org/officeDocument/2006/relationships/hyperlink" Target="https://datapot.vn/khoa-hoc/data-fundamentals/" TargetMode="External"/><Relationship Id="rId26" Type="http://schemas.openxmlformats.org/officeDocument/2006/relationships/hyperlink" Target="https://datapot.vn/khoa-hoc/pl-300-analyzing-data-with-power-bi/" TargetMode="External"/><Relationship Id="rId3" Type="http://schemas.openxmlformats.org/officeDocument/2006/relationships/hyperlink" Target="https://datapot.vn/khoa-hoc/cda-data-analytics-preparation/" TargetMode="External"/><Relationship Id="rId21" Type="http://schemas.openxmlformats.org/officeDocument/2006/relationships/hyperlink" Target="https://datapot.vn/khoa-hoc/dp-080-querying-data-with-microsoft-t-sql/" TargetMode="External"/><Relationship Id="rId34" Type="http://schemas.openxmlformats.org/officeDocument/2006/relationships/table" Target="../tables/table10.xml"/><Relationship Id="rId7" Type="http://schemas.openxmlformats.org/officeDocument/2006/relationships/hyperlink" Target="https://datapot.vn/khoa-hoc/exqp-power-excel-mastery-query-pivot-essentials/" TargetMode="External"/><Relationship Id="rId12" Type="http://schemas.openxmlformats.org/officeDocument/2006/relationships/hyperlink" Target="https://datapot.vn/khoa-hoc/combo-sql-from-zero-to-hero/" TargetMode="External"/><Relationship Id="rId17" Type="http://schemas.openxmlformats.org/officeDocument/2006/relationships/hyperlink" Target="https://datapot.vn/khoa-hoc/advanced-query-with-t-sql/" TargetMode="External"/><Relationship Id="rId25" Type="http://schemas.openxmlformats.org/officeDocument/2006/relationships/hyperlink" Target="https://datapot.vn/khoa-hoc/python-for-data-analytics-pyda/" TargetMode="External"/><Relationship Id="rId33" Type="http://schemas.openxmlformats.org/officeDocument/2006/relationships/table" Target="../tables/table9.xml"/><Relationship Id="rId2" Type="http://schemas.openxmlformats.org/officeDocument/2006/relationships/hyperlink" Target="https://datapot.vn/khoa-hoc/power-bi-advanced-data-modeling-and-dax/" TargetMode="External"/><Relationship Id="rId16" Type="http://schemas.openxmlformats.org/officeDocument/2006/relationships/hyperlink" Target="https://datapot.vn/khoa-hoc/combo-power-bi-sql/" TargetMode="External"/><Relationship Id="rId20" Type="http://schemas.openxmlformats.org/officeDocument/2006/relationships/hyperlink" Target="https://datapot.vn/khoa-hoc/ai900-microsoft-azure-ai-fundamentals/" TargetMode="External"/><Relationship Id="rId29" Type="http://schemas.openxmlformats.org/officeDocument/2006/relationships/hyperlink" Target="https://datapot.vn/shop/" TargetMode="External"/><Relationship Id="rId1" Type="http://schemas.openxmlformats.org/officeDocument/2006/relationships/hyperlink" Target="https://datapot.vn/khoa-hoc/fundamentals-business-analyst-skills/" TargetMode="External"/><Relationship Id="rId6" Type="http://schemas.openxmlformats.org/officeDocument/2006/relationships/hyperlink" Target="https://datapot.vn/khoa-hoc/dp-600-implementing-analytics-solutions-using-microsoft-fabric/" TargetMode="External"/><Relationship Id="rId11" Type="http://schemas.openxmlformats.org/officeDocument/2006/relationships/hyperlink" Target="https://datapot.vn/khoa-hoc/dafp-data-analytics-foundation-plus/" TargetMode="External"/><Relationship Id="rId24" Type="http://schemas.openxmlformats.org/officeDocument/2006/relationships/hyperlink" Target="https://datapot.vn/khoa-hoc/pl-7002-create-and-manage-automated-processes-by-using-power-automate/" TargetMode="External"/><Relationship Id="rId32" Type="http://schemas.openxmlformats.org/officeDocument/2006/relationships/table" Target="../tables/table8.xml"/><Relationship Id="rId5" Type="http://schemas.openxmlformats.org/officeDocument/2006/relationships/hyperlink" Target="https://datapot.vn/khoa-hoc/career-success-guide/" TargetMode="External"/><Relationship Id="rId15" Type="http://schemas.openxmlformats.org/officeDocument/2006/relationships/hyperlink" Target="https://datapot.vn/khoa-hoc/mcev-microsoft-certification-exam-voucher/" TargetMode="External"/><Relationship Id="rId23" Type="http://schemas.openxmlformats.org/officeDocument/2006/relationships/hyperlink" Target="https://datapot.vn/khoa-hoc/pl-7001-create-and-manage-canvas-apps-with-power-apps/" TargetMode="External"/><Relationship Id="rId28" Type="http://schemas.openxmlformats.org/officeDocument/2006/relationships/hyperlink" Target="https://datapot.vn/chung-nhan-data-analytics/" TargetMode="External"/><Relationship Id="rId10" Type="http://schemas.openxmlformats.org/officeDocument/2006/relationships/hyperlink" Target="https://datapot.vn/khoa-hoc/storytelling-with-powerpoint/" TargetMode="External"/><Relationship Id="rId19" Type="http://schemas.openxmlformats.org/officeDocument/2006/relationships/hyperlink" Target="https://datapot.vn/khoa-hoc/data-analytics-foundation-daf/" TargetMode="External"/><Relationship Id="rId31" Type="http://schemas.openxmlformats.org/officeDocument/2006/relationships/table" Target="../tables/table7.xml"/><Relationship Id="rId4" Type="http://schemas.openxmlformats.org/officeDocument/2006/relationships/hyperlink" Target="https://datapot.vn/khoa-hoc/instructional-skills-for-tech-trainer/" TargetMode="External"/><Relationship Id="rId9" Type="http://schemas.openxmlformats.org/officeDocument/2006/relationships/hyperlink" Target="https://datapot.vn/khoa-hoc/digital-business-analyst-skills/" TargetMode="External"/><Relationship Id="rId14" Type="http://schemas.openxmlformats.org/officeDocument/2006/relationships/hyperlink" Target="https://datapot.vn/khoa-hoc/excel-for-data-analytics/" TargetMode="External"/><Relationship Id="rId22" Type="http://schemas.openxmlformats.org/officeDocument/2006/relationships/hyperlink" Target="https://datapot.vn/khoa-hoc/ms-900-microsoft-365-fundamentals/" TargetMode="External"/><Relationship Id="rId27" Type="http://schemas.openxmlformats.org/officeDocument/2006/relationships/hyperlink" Target="https://datapot.vn/lich-khai-giang/" TargetMode="External"/><Relationship Id="rId30" Type="http://schemas.openxmlformats.org/officeDocument/2006/relationships/printerSettings" Target="../printerSettings/printerSettings1.bin"/><Relationship Id="rId8" Type="http://schemas.openxmlformats.org/officeDocument/2006/relationships/hyperlink" Target="https://datapot.vn/khoa-hoc/digital-business-analyst-progr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F3082-1A92-49F2-8A74-B9F3D7EDE14F}">
  <dimension ref="A1:F64"/>
  <sheetViews>
    <sheetView tabSelected="1" workbookViewId="0">
      <selection activeCell="A2" sqref="A2"/>
    </sheetView>
  </sheetViews>
  <sheetFormatPr defaultRowHeight="15"/>
  <cols>
    <col min="1" max="1" width="5.7109375" customWidth="1"/>
    <col min="3" max="3" width="14.28515625" customWidth="1"/>
    <col min="4" max="4" width="35.7109375" customWidth="1"/>
    <col min="5" max="5" width="30.5703125" customWidth="1"/>
    <col min="6" max="6" width="56.7109375" customWidth="1"/>
  </cols>
  <sheetData>
    <row r="1" spans="1:5" ht="21">
      <c r="A1" s="7" t="s">
        <v>0</v>
      </c>
      <c r="D1" s="1"/>
      <c r="E1" s="1"/>
    </row>
    <row r="2" spans="1:5" ht="15.75">
      <c r="A2" s="6" t="s">
        <v>1</v>
      </c>
      <c r="D2" s="1"/>
      <c r="E2" s="1"/>
    </row>
    <row r="3" spans="1:5" ht="15.75">
      <c r="A3" s="6" t="s">
        <v>2</v>
      </c>
      <c r="D3" s="1"/>
      <c r="E3" s="1"/>
    </row>
    <row r="4" spans="1:5">
      <c r="D4" s="1"/>
      <c r="E4" s="1"/>
    </row>
    <row r="5" spans="1:5">
      <c r="A5" s="2" t="s">
        <v>3</v>
      </c>
      <c r="D5" s="1"/>
      <c r="E5" s="1"/>
    </row>
    <row r="6" spans="1:5">
      <c r="B6" s="79" t="s">
        <v>4</v>
      </c>
      <c r="D6" s="1"/>
      <c r="E6" s="1"/>
    </row>
    <row r="7" spans="1:5">
      <c r="C7" t="s">
        <v>5</v>
      </c>
      <c r="D7" s="1"/>
      <c r="E7" s="1"/>
    </row>
    <row r="8" spans="1:5">
      <c r="C8" t="s">
        <v>6</v>
      </c>
      <c r="D8" s="1"/>
      <c r="E8" s="1"/>
    </row>
    <row r="9" spans="1:5">
      <c r="C9" t="s">
        <v>7</v>
      </c>
      <c r="D9" s="1"/>
      <c r="E9" s="1"/>
    </row>
    <row r="10" spans="1:5">
      <c r="A10" s="60" t="s">
        <v>8</v>
      </c>
      <c r="D10" s="1"/>
      <c r="E10" s="1"/>
    </row>
    <row r="11" spans="1:5">
      <c r="B11" t="s">
        <v>9</v>
      </c>
      <c r="D11" s="1"/>
      <c r="E11" s="1"/>
    </row>
    <row r="12" spans="1:5">
      <c r="D12" s="1"/>
      <c r="E12" s="1"/>
    </row>
    <row r="13" spans="1:5">
      <c r="A13" s="2" t="s">
        <v>10</v>
      </c>
      <c r="D13" s="1"/>
      <c r="E13" s="1"/>
    </row>
    <row r="14" spans="1:5">
      <c r="B14" s="80" t="s">
        <v>11</v>
      </c>
      <c r="D14" s="1"/>
      <c r="E14" s="1"/>
    </row>
    <row r="15" spans="1:5">
      <c r="B15" s="80" t="s">
        <v>12</v>
      </c>
      <c r="D15" s="1"/>
      <c r="E15" s="1"/>
    </row>
    <row r="16" spans="1:5">
      <c r="B16" s="80" t="s">
        <v>13</v>
      </c>
      <c r="D16" s="1"/>
      <c r="E16" s="1"/>
    </row>
    <row r="17" spans="1:6">
      <c r="B17" s="81" t="s">
        <v>14</v>
      </c>
      <c r="D17" s="1"/>
      <c r="E17" s="1"/>
    </row>
    <row r="18" spans="1:6">
      <c r="B18" s="80" t="s">
        <v>15</v>
      </c>
      <c r="D18" s="1"/>
      <c r="E18" s="1"/>
    </row>
    <row r="19" spans="1:6">
      <c r="D19" s="1"/>
      <c r="E19" s="1"/>
    </row>
    <row r="20" spans="1:6">
      <c r="A20" s="64" t="s">
        <v>16</v>
      </c>
      <c r="D20" s="1"/>
      <c r="E20" s="1"/>
    </row>
    <row r="21" spans="1:6">
      <c r="B21" s="60" t="s">
        <v>17</v>
      </c>
      <c r="D21" s="1"/>
      <c r="E21" s="1"/>
    </row>
    <row r="22" spans="1:6">
      <c r="B22" s="60"/>
      <c r="C22" s="82" t="s">
        <v>18</v>
      </c>
      <c r="D22" s="83" t="s">
        <v>19</v>
      </c>
      <c r="E22" s="83" t="s">
        <v>20</v>
      </c>
      <c r="F22" s="82" t="s">
        <v>21</v>
      </c>
    </row>
    <row r="23" spans="1:6" ht="96" customHeight="1">
      <c r="B23" s="60"/>
      <c r="C23" s="84" t="s">
        <v>22</v>
      </c>
      <c r="D23" s="85" t="s">
        <v>23</v>
      </c>
      <c r="E23" s="86" t="s">
        <v>24</v>
      </c>
      <c r="F23" s="86" t="s">
        <v>25</v>
      </c>
    </row>
    <row r="24" spans="1:6" ht="72.75">
      <c r="A24" s="87"/>
      <c r="B24" s="87"/>
      <c r="C24" s="84" t="s">
        <v>26</v>
      </c>
      <c r="D24" s="85" t="s">
        <v>27</v>
      </c>
      <c r="E24" s="86" t="s">
        <v>28</v>
      </c>
      <c r="F24" s="86" t="s">
        <v>29</v>
      </c>
    </row>
    <row r="25" spans="1:6" ht="78.75" customHeight="1">
      <c r="A25" s="87"/>
      <c r="B25" s="87"/>
      <c r="C25" s="84" t="s">
        <v>30</v>
      </c>
      <c r="D25" s="85" t="s">
        <v>31</v>
      </c>
      <c r="E25" s="86" t="s">
        <v>32</v>
      </c>
      <c r="F25" s="86" t="s">
        <v>33</v>
      </c>
    </row>
    <row r="26" spans="1:6" ht="186.75" customHeight="1">
      <c r="A26" s="87"/>
      <c r="B26" s="87"/>
      <c r="C26" s="84" t="s">
        <v>34</v>
      </c>
      <c r="D26" s="85" t="s">
        <v>35</v>
      </c>
      <c r="E26" s="85"/>
      <c r="F26" s="88" t="s">
        <v>36</v>
      </c>
    </row>
    <row r="27" spans="1:6">
      <c r="B27" s="60" t="s">
        <v>37</v>
      </c>
      <c r="D27" s="1"/>
      <c r="E27" s="1"/>
    </row>
    <row r="28" spans="1:6" ht="50.25" customHeight="1">
      <c r="C28" s="83" t="s">
        <v>38</v>
      </c>
      <c r="D28" s="91" t="s">
        <v>39</v>
      </c>
      <c r="E28" s="1"/>
    </row>
    <row r="29" spans="1:6" ht="36" customHeight="1">
      <c r="B29" s="60"/>
      <c r="C29" s="89" t="s">
        <v>40</v>
      </c>
      <c r="D29" s="90" t="s">
        <v>41</v>
      </c>
      <c r="E29" s="1"/>
    </row>
    <row r="43" spans="1:3">
      <c r="A43" s="64"/>
    </row>
    <row r="44" spans="1:3">
      <c r="A44" s="64"/>
    </row>
    <row r="45" spans="1:3">
      <c r="B45" s="62"/>
    </row>
    <row r="46" spans="1:3">
      <c r="C46" s="63"/>
    </row>
    <row r="47" spans="1:3">
      <c r="C47" s="63"/>
    </row>
    <row r="48" spans="1:3">
      <c r="C48" s="63"/>
    </row>
    <row r="50" spans="1:3">
      <c r="B50" s="62"/>
    </row>
    <row r="51" spans="1:3">
      <c r="C51" s="63"/>
    </row>
    <row r="52" spans="1:3">
      <c r="C52" s="63"/>
    </row>
    <row r="53" spans="1:3">
      <c r="C53" s="63"/>
    </row>
    <row r="55" spans="1:3">
      <c r="B55" s="62"/>
    </row>
    <row r="56" spans="1:3">
      <c r="C56" s="63"/>
    </row>
    <row r="57" spans="1:3">
      <c r="C57" s="63"/>
    </row>
    <row r="58" spans="1:3">
      <c r="C58" s="63"/>
    </row>
    <row r="60" spans="1:3">
      <c r="B60" s="62"/>
    </row>
    <row r="61" spans="1:3">
      <c r="C61" s="63"/>
    </row>
    <row r="62" spans="1:3">
      <c r="C62" s="63"/>
    </row>
    <row r="63" spans="1:3">
      <c r="C63" s="63"/>
    </row>
    <row r="64" spans="1:3">
      <c r="A64" s="6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0C073-7DBB-4202-8210-37094EAF0244}">
  <dimension ref="A3:C22"/>
  <sheetViews>
    <sheetView workbookViewId="0">
      <selection activeCell="C27" sqref="C27"/>
    </sheetView>
  </sheetViews>
  <sheetFormatPr defaultRowHeight="15"/>
  <cols>
    <col min="1" max="1" width="20.7109375" customWidth="1"/>
    <col min="2" max="2" width="33.5703125" customWidth="1"/>
    <col min="3" max="3" width="68.85546875" customWidth="1"/>
  </cols>
  <sheetData>
    <row r="3" spans="1:3">
      <c r="A3" t="s">
        <v>42</v>
      </c>
      <c r="B3" t="s">
        <v>43</v>
      </c>
    </row>
    <row r="4" spans="1:3">
      <c r="B4" t="s">
        <v>44</v>
      </c>
    </row>
    <row r="5" spans="1:3" ht="29.25">
      <c r="B5" s="1" t="s">
        <v>45</v>
      </c>
    </row>
    <row r="6" spans="1:3">
      <c r="B6" t="s">
        <v>46</v>
      </c>
    </row>
    <row r="8" spans="1:3">
      <c r="A8" t="s">
        <v>47</v>
      </c>
      <c r="B8" t="s">
        <v>48</v>
      </c>
    </row>
    <row r="9" spans="1:3">
      <c r="B9" t="s">
        <v>49</v>
      </c>
    </row>
    <row r="10" spans="1:3">
      <c r="B10" t="s">
        <v>50</v>
      </c>
    </row>
    <row r="12" spans="1:3">
      <c r="A12" t="s">
        <v>51</v>
      </c>
      <c r="B12" t="s">
        <v>52</v>
      </c>
    </row>
    <row r="13" spans="1:3">
      <c r="B13" t="s">
        <v>53</v>
      </c>
    </row>
    <row r="14" spans="1:3">
      <c r="B14" t="s">
        <v>54</v>
      </c>
    </row>
    <row r="16" spans="1:3">
      <c r="A16" t="s">
        <v>55</v>
      </c>
      <c r="B16" t="s">
        <v>56</v>
      </c>
      <c r="C16" t="s">
        <v>57</v>
      </c>
    </row>
    <row r="17" spans="1:3">
      <c r="B17" t="s">
        <v>58</v>
      </c>
      <c r="C17" t="s">
        <v>59</v>
      </c>
    </row>
    <row r="18" spans="1:3" ht="29.25">
      <c r="B18" s="1" t="s">
        <v>60</v>
      </c>
      <c r="C18" t="s">
        <v>61</v>
      </c>
    </row>
    <row r="20" spans="1:3">
      <c r="A20" t="s">
        <v>62</v>
      </c>
      <c r="B20" t="s">
        <v>63</v>
      </c>
    </row>
    <row r="21" spans="1:3">
      <c r="B21" t="s">
        <v>64</v>
      </c>
    </row>
    <row r="22" spans="1:3">
      <c r="B22"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0532B-A421-4703-A7DF-840B92FAF372}">
  <dimension ref="A1:W43"/>
  <sheetViews>
    <sheetView showGridLines="0" workbookViewId="0">
      <pane xSplit="4" ySplit="5" topLeftCell="E6" activePane="bottomRight" state="frozen"/>
      <selection pane="bottomRight" activeCell="C3" sqref="C3"/>
      <selection pane="bottomLeft"/>
      <selection pane="topRight"/>
    </sheetView>
  </sheetViews>
  <sheetFormatPr defaultRowHeight="15" customHeight="1"/>
  <cols>
    <col min="1" max="1" width="7.85546875" customWidth="1"/>
    <col min="2" max="2" width="15.85546875" bestFit="1" customWidth="1"/>
    <col min="3" max="3" width="15.140625" bestFit="1" customWidth="1"/>
    <col min="4" max="4" width="22.28515625" customWidth="1"/>
    <col min="5" max="5" width="26.5703125" customWidth="1"/>
    <col min="6" max="6" width="9.140625" bestFit="1" customWidth="1"/>
    <col min="7" max="7" width="15.140625" bestFit="1" customWidth="1"/>
    <col min="8" max="8" width="37.7109375" customWidth="1"/>
    <col min="9" max="9" width="14.28515625" customWidth="1"/>
    <col min="10" max="10" width="24.7109375" bestFit="1" customWidth="1"/>
    <col min="11" max="11" width="17.42578125" bestFit="1" customWidth="1"/>
    <col min="12" max="12" width="9.85546875" bestFit="1" customWidth="1"/>
    <col min="13" max="13" width="11.7109375" customWidth="1"/>
    <col min="14" max="14" width="16" customWidth="1"/>
    <col min="15" max="15" width="12.42578125" customWidth="1"/>
    <col min="16" max="16" width="11.140625" customWidth="1"/>
    <col min="17" max="17" width="13" customWidth="1"/>
    <col min="18" max="18" width="51" hidden="1" customWidth="1"/>
    <col min="19" max="19" width="48.28515625" hidden="1" customWidth="1"/>
    <col min="20" max="20" width="55.42578125" hidden="1" customWidth="1"/>
    <col min="21" max="21" width="30.140625" hidden="1" customWidth="1"/>
    <col min="22" max="22" width="19.42578125" customWidth="1"/>
    <col min="23" max="23" width="14.85546875" customWidth="1"/>
  </cols>
  <sheetData>
    <row r="1" spans="1:23" ht="21">
      <c r="A1" s="7" t="s">
        <v>65</v>
      </c>
    </row>
    <row r="2" spans="1:23" ht="15.75">
      <c r="A2" s="6" t="s">
        <v>1</v>
      </c>
    </row>
    <row r="3" spans="1:23" ht="15.75">
      <c r="A3" s="6" t="s">
        <v>2</v>
      </c>
      <c r="B3" s="5"/>
      <c r="C3" s="5"/>
    </row>
    <row r="4" spans="1:23" ht="15.75">
      <c r="A4" s="5"/>
      <c r="B4" s="5"/>
      <c r="C4" s="5"/>
    </row>
    <row r="5" spans="1:23">
      <c r="A5" s="9" t="s">
        <v>66</v>
      </c>
      <c r="B5" s="9" t="s">
        <v>67</v>
      </c>
      <c r="C5" s="9" t="s">
        <v>68</v>
      </c>
      <c r="D5" s="2" t="s">
        <v>69</v>
      </c>
      <c r="E5" s="2" t="s">
        <v>70</v>
      </c>
      <c r="F5" s="9" t="s">
        <v>71</v>
      </c>
      <c r="G5" s="9" t="s">
        <v>47</v>
      </c>
      <c r="H5" s="2" t="s">
        <v>72</v>
      </c>
      <c r="I5" s="2" t="s">
        <v>73</v>
      </c>
      <c r="J5" s="2" t="s">
        <v>74</v>
      </c>
      <c r="K5" s="2" t="s">
        <v>75</v>
      </c>
      <c r="L5" s="2" t="s">
        <v>76</v>
      </c>
      <c r="M5" s="2" t="s">
        <v>77</v>
      </c>
      <c r="N5" s="2" t="s">
        <v>78</v>
      </c>
      <c r="O5" s="2" t="s">
        <v>79</v>
      </c>
      <c r="P5" s="2" t="s">
        <v>80</v>
      </c>
      <c r="Q5" s="2" t="s">
        <v>81</v>
      </c>
      <c r="R5" s="2" t="s">
        <v>82</v>
      </c>
      <c r="S5" s="2" t="s">
        <v>83</v>
      </c>
      <c r="T5" s="2" t="s">
        <v>84</v>
      </c>
      <c r="U5" s="2" t="s">
        <v>85</v>
      </c>
      <c r="V5" s="2" t="s">
        <v>86</v>
      </c>
      <c r="W5" s="2" t="s">
        <v>87</v>
      </c>
    </row>
    <row r="6" spans="1:23" ht="57.75">
      <c r="A6" s="8">
        <f t="shared" ref="A6:A32" si="0">ROW()-5</f>
        <v>1</v>
      </c>
      <c r="B6" s="10" t="s">
        <v>88</v>
      </c>
      <c r="C6" s="10" t="s">
        <v>89</v>
      </c>
      <c r="D6" s="1" t="s">
        <v>90</v>
      </c>
      <c r="E6" s="1" t="str">
        <f>_xlfn.CONCAT(Table8[[#This Row],[display_code]]," – ",Table8[[#This Row],[product_name]])</f>
        <v>AI-900 – Microsoft Azure AI Fundamentals</v>
      </c>
      <c r="F6" s="10" t="s">
        <v>52</v>
      </c>
      <c r="G6" s="10" t="s">
        <v>49</v>
      </c>
      <c r="H6" s="1" t="s">
        <v>91</v>
      </c>
      <c r="I6" s="1" t="s">
        <v>56</v>
      </c>
      <c r="J6" s="1" t="s">
        <v>44</v>
      </c>
      <c r="K6" s="1" t="s">
        <v>63</v>
      </c>
      <c r="L6" s="1" t="s">
        <v>46</v>
      </c>
      <c r="M6" s="1" t="s">
        <v>92</v>
      </c>
      <c r="N6" s="1" t="s">
        <v>93</v>
      </c>
      <c r="O6" s="1" t="s">
        <v>94</v>
      </c>
      <c r="P6" s="1" t="s">
        <v>95</v>
      </c>
      <c r="Q6" s="4">
        <v>3000000</v>
      </c>
      <c r="R6" s="39" t="s">
        <v>96</v>
      </c>
      <c r="S6" s="1" t="s">
        <v>97</v>
      </c>
      <c r="T6" s="1" t="s">
        <v>98</v>
      </c>
      <c r="U6" s="1" t="s">
        <v>99</v>
      </c>
      <c r="V6" s="11" t="s">
        <v>100</v>
      </c>
      <c r="W6" s="1"/>
    </row>
    <row r="7" spans="1:23" ht="72.75">
      <c r="A7" s="8">
        <f t="shared" si="0"/>
        <v>2</v>
      </c>
      <c r="B7" s="10" t="s">
        <v>101</v>
      </c>
      <c r="C7" s="10" t="s">
        <v>101</v>
      </c>
      <c r="D7" s="1" t="s">
        <v>102</v>
      </c>
      <c r="E7" s="1" t="str">
        <f>_xlfn.CONCAT(Table8[[#This Row],[display_code]]," – ",Table8[[#This Row],[product_name]])</f>
        <v>APBI – Power BI Advanced Data Modeling and Visualization</v>
      </c>
      <c r="F7" s="10" t="s">
        <v>52</v>
      </c>
      <c r="G7" s="10" t="s">
        <v>49</v>
      </c>
      <c r="H7" s="1" t="s">
        <v>103</v>
      </c>
      <c r="I7" s="1" t="s">
        <v>58</v>
      </c>
      <c r="J7" s="1" t="s">
        <v>43</v>
      </c>
      <c r="K7" s="1" t="s">
        <v>104</v>
      </c>
      <c r="L7" s="1" t="s">
        <v>105</v>
      </c>
      <c r="M7" s="1" t="s">
        <v>106</v>
      </c>
      <c r="N7" s="1" t="s">
        <v>107</v>
      </c>
      <c r="O7" s="1" t="s">
        <v>108</v>
      </c>
      <c r="P7" s="1" t="s">
        <v>109</v>
      </c>
      <c r="Q7" s="4">
        <v>7500000</v>
      </c>
      <c r="R7" s="39" t="s">
        <v>110</v>
      </c>
      <c r="S7" s="39" t="s">
        <v>111</v>
      </c>
      <c r="T7" s="1" t="s">
        <v>112</v>
      </c>
      <c r="U7" s="1" t="s">
        <v>113</v>
      </c>
      <c r="V7" s="11" t="s">
        <v>114</v>
      </c>
      <c r="W7" s="1"/>
    </row>
    <row r="8" spans="1:23" ht="87">
      <c r="A8" s="8">
        <f t="shared" si="0"/>
        <v>3</v>
      </c>
      <c r="B8" s="10" t="s">
        <v>115</v>
      </c>
      <c r="C8" s="10" t="s">
        <v>115</v>
      </c>
      <c r="D8" s="1" t="s">
        <v>116</v>
      </c>
      <c r="E8" s="1" t="str">
        <f>_xlfn.CONCAT(Table8[[#This Row],[display_code]]," – ",Table8[[#This Row],[product_name]])</f>
        <v>ASQL – Advanced Query with T-SQL</v>
      </c>
      <c r="F8" s="10" t="s">
        <v>52</v>
      </c>
      <c r="G8" s="10" t="s">
        <v>49</v>
      </c>
      <c r="H8" s="1" t="s">
        <v>117</v>
      </c>
      <c r="I8" s="1" t="s">
        <v>58</v>
      </c>
      <c r="J8" s="1" t="s">
        <v>43</v>
      </c>
      <c r="K8" s="1" t="s">
        <v>104</v>
      </c>
      <c r="L8" s="1" t="s">
        <v>46</v>
      </c>
      <c r="M8" s="1" t="s">
        <v>118</v>
      </c>
      <c r="N8" s="1" t="s">
        <v>119</v>
      </c>
      <c r="O8" s="1" t="s">
        <v>108</v>
      </c>
      <c r="P8" s="1" t="s">
        <v>120</v>
      </c>
      <c r="Q8" s="4">
        <v>4200000</v>
      </c>
      <c r="R8" s="39" t="s">
        <v>121</v>
      </c>
      <c r="S8" s="39" t="s">
        <v>122</v>
      </c>
      <c r="T8" s="1" t="s">
        <v>123</v>
      </c>
      <c r="U8" s="1" t="s">
        <v>124</v>
      </c>
      <c r="V8" s="11" t="s">
        <v>125</v>
      </c>
      <c r="W8" s="1"/>
    </row>
    <row r="9" spans="1:23" ht="57.75">
      <c r="A9" s="8">
        <f t="shared" si="0"/>
        <v>4</v>
      </c>
      <c r="B9" s="10" t="s">
        <v>126</v>
      </c>
      <c r="C9" s="10" t="s">
        <v>126</v>
      </c>
      <c r="D9" s="1" t="s">
        <v>127</v>
      </c>
      <c r="E9" s="1" t="str">
        <f>_xlfn.CONCAT(Table8[[#This Row],[display_code]]," – ",Table8[[#This Row],[product_name]])</f>
        <v>BAED – Digital Business Analyst Skills</v>
      </c>
      <c r="F9" s="10" t="s">
        <v>52</v>
      </c>
      <c r="G9" s="10" t="s">
        <v>49</v>
      </c>
      <c r="H9" s="1" t="s">
        <v>128</v>
      </c>
      <c r="I9" s="1" t="s">
        <v>58</v>
      </c>
      <c r="J9" s="1" t="s">
        <v>43</v>
      </c>
      <c r="K9" s="1" t="s">
        <v>104</v>
      </c>
      <c r="L9" s="1" t="s">
        <v>105</v>
      </c>
      <c r="M9" s="1" t="s">
        <v>46</v>
      </c>
      <c r="N9" s="1" t="s">
        <v>129</v>
      </c>
      <c r="O9" s="1" t="s">
        <v>108</v>
      </c>
      <c r="P9" s="1" t="s">
        <v>130</v>
      </c>
      <c r="Q9" s="4">
        <v>6000000</v>
      </c>
      <c r="R9" s="39" t="s">
        <v>131</v>
      </c>
      <c r="S9" s="1" t="s">
        <v>132</v>
      </c>
      <c r="T9" s="1" t="s">
        <v>133</v>
      </c>
      <c r="U9" s="1" t="s">
        <v>134</v>
      </c>
      <c r="V9" s="11" t="s">
        <v>135</v>
      </c>
      <c r="W9" s="1"/>
    </row>
    <row r="10" spans="1:23" ht="57.75">
      <c r="A10" s="8">
        <f t="shared" si="0"/>
        <v>5</v>
      </c>
      <c r="B10" s="10" t="s">
        <v>136</v>
      </c>
      <c r="C10" s="10" t="s">
        <v>136</v>
      </c>
      <c r="D10" s="1" t="s">
        <v>137</v>
      </c>
      <c r="E10" s="1" t="str">
        <f>_xlfn.CONCAT(Table8[[#This Row],[display_code]]," – ",Table8[[#This Row],[product_name]])</f>
        <v>BAFU – Fundamental Business Analyst Skills</v>
      </c>
      <c r="F10" s="10" t="s">
        <v>52</v>
      </c>
      <c r="G10" s="10" t="s">
        <v>49</v>
      </c>
      <c r="H10" s="1" t="s">
        <v>138</v>
      </c>
      <c r="I10" s="1" t="s">
        <v>58</v>
      </c>
      <c r="J10" s="1" t="s">
        <v>43</v>
      </c>
      <c r="K10" s="1" t="s">
        <v>104</v>
      </c>
      <c r="L10" s="1" t="s">
        <v>105</v>
      </c>
      <c r="M10" s="1" t="s">
        <v>139</v>
      </c>
      <c r="N10" s="1" t="s">
        <v>140</v>
      </c>
      <c r="O10" s="1" t="s">
        <v>108</v>
      </c>
      <c r="P10" s="1" t="s">
        <v>130</v>
      </c>
      <c r="Q10" s="1" t="s">
        <v>141</v>
      </c>
      <c r="R10" s="39" t="s">
        <v>142</v>
      </c>
      <c r="S10" s="1" t="s">
        <v>143</v>
      </c>
      <c r="T10" s="1" t="s">
        <v>144</v>
      </c>
      <c r="U10" s="1" t="s">
        <v>145</v>
      </c>
      <c r="V10" s="11" t="s">
        <v>146</v>
      </c>
      <c r="W10" s="1"/>
    </row>
    <row r="11" spans="1:23" ht="57.75">
      <c r="A11" s="8">
        <f t="shared" si="0"/>
        <v>6</v>
      </c>
      <c r="B11" s="10" t="s">
        <v>147</v>
      </c>
      <c r="C11" s="10" t="s">
        <v>147</v>
      </c>
      <c r="D11" s="1" t="s">
        <v>148</v>
      </c>
      <c r="E11" s="1" t="str">
        <f>_xlfn.CONCAT(Table8[[#This Row],[display_code]]," – ",Table8[[#This Row],[product_name]])</f>
        <v>BISQL – Combo Power BI &amp; SQL</v>
      </c>
      <c r="F11" s="10" t="s">
        <v>52</v>
      </c>
      <c r="G11" s="10" t="s">
        <v>48</v>
      </c>
      <c r="H11" s="1" t="s">
        <v>149</v>
      </c>
      <c r="I11" s="1" t="s">
        <v>60</v>
      </c>
      <c r="J11" s="1" t="s">
        <v>45</v>
      </c>
      <c r="K11" s="1" t="s">
        <v>104</v>
      </c>
      <c r="L11" s="1" t="s">
        <v>105</v>
      </c>
      <c r="M11" s="1" t="s">
        <v>139</v>
      </c>
      <c r="N11" s="1" t="s">
        <v>140</v>
      </c>
      <c r="O11" s="1" t="s">
        <v>150</v>
      </c>
      <c r="P11" s="1" t="s">
        <v>46</v>
      </c>
      <c r="Q11" s="1" t="s">
        <v>141</v>
      </c>
      <c r="R11" s="1"/>
      <c r="S11" s="1" t="s">
        <v>151</v>
      </c>
      <c r="T11" s="1" t="s">
        <v>152</v>
      </c>
      <c r="U11" s="1" t="s">
        <v>153</v>
      </c>
      <c r="V11" s="11" t="s">
        <v>154</v>
      </c>
      <c r="W11" s="1"/>
    </row>
    <row r="12" spans="1:23" ht="57.75">
      <c r="A12" s="8">
        <f t="shared" si="0"/>
        <v>7</v>
      </c>
      <c r="B12" s="10" t="s">
        <v>155</v>
      </c>
      <c r="C12" s="10" t="s">
        <v>155</v>
      </c>
      <c r="D12" s="1" t="s">
        <v>156</v>
      </c>
      <c r="E12" s="1" t="str">
        <f>_xlfn.CONCAT(Table8[[#This Row],[display_code]]," – ",Table8[[#This Row],[product_name]])</f>
        <v>BOPA – Optimize Business Process using Power Apps, Power Automate &amp; Power BI</v>
      </c>
      <c r="F12" s="10" t="s">
        <v>52</v>
      </c>
      <c r="G12" s="10" t="s">
        <v>48</v>
      </c>
      <c r="H12" s="1" t="s">
        <v>157</v>
      </c>
      <c r="I12" s="1" t="s">
        <v>56</v>
      </c>
      <c r="J12" s="1" t="s">
        <v>44</v>
      </c>
      <c r="K12" s="1" t="s">
        <v>104</v>
      </c>
      <c r="L12" s="1" t="s">
        <v>105</v>
      </c>
      <c r="M12" s="1" t="s">
        <v>158</v>
      </c>
      <c r="N12" s="1" t="s">
        <v>159</v>
      </c>
      <c r="O12" s="1" t="s">
        <v>108</v>
      </c>
      <c r="P12" s="1" t="s">
        <v>160</v>
      </c>
      <c r="Q12" s="1" t="s">
        <v>141</v>
      </c>
      <c r="R12" s="39" t="s">
        <v>161</v>
      </c>
      <c r="S12" s="39" t="s">
        <v>162</v>
      </c>
      <c r="T12" s="1" t="s">
        <v>163</v>
      </c>
      <c r="U12" s="1" t="s">
        <v>164</v>
      </c>
      <c r="V12" s="11" t="s">
        <v>165</v>
      </c>
      <c r="W12" s="1"/>
    </row>
    <row r="13" spans="1:23" ht="57.75">
      <c r="A13" s="8">
        <f t="shared" si="0"/>
        <v>8</v>
      </c>
      <c r="B13" s="10" t="s">
        <v>166</v>
      </c>
      <c r="C13" s="10" t="s">
        <v>166</v>
      </c>
      <c r="D13" s="1" t="s">
        <v>167</v>
      </c>
      <c r="E13" s="1" t="str">
        <f>_xlfn.CONCAT(Table8[[#This Row],[display_code]]," – ",Table8[[#This Row],[product_name]])</f>
        <v>CRBA – Career Success Guide</v>
      </c>
      <c r="F13" s="10" t="s">
        <v>52</v>
      </c>
      <c r="G13" s="10" t="s">
        <v>49</v>
      </c>
      <c r="H13" s="1" t="s">
        <v>168</v>
      </c>
      <c r="I13" s="1" t="s">
        <v>58</v>
      </c>
      <c r="J13" s="1" t="s">
        <v>43</v>
      </c>
      <c r="K13" s="1" t="s">
        <v>104</v>
      </c>
      <c r="L13" s="1" t="s">
        <v>46</v>
      </c>
      <c r="M13" s="1" t="s">
        <v>139</v>
      </c>
      <c r="N13" s="1" t="s">
        <v>140</v>
      </c>
      <c r="O13" s="1" t="s">
        <v>46</v>
      </c>
      <c r="P13" s="1" t="s">
        <v>169</v>
      </c>
      <c r="Q13" s="4">
        <v>4000000</v>
      </c>
      <c r="R13" s="39" t="s">
        <v>170</v>
      </c>
      <c r="S13" s="1" t="s">
        <v>171</v>
      </c>
      <c r="T13" s="1" t="s">
        <v>172</v>
      </c>
      <c r="U13" s="1" t="s">
        <v>173</v>
      </c>
      <c r="V13" s="11" t="s">
        <v>174</v>
      </c>
      <c r="W13" s="1"/>
    </row>
    <row r="14" spans="1:23" ht="57.75">
      <c r="A14" s="8">
        <f t="shared" si="0"/>
        <v>9</v>
      </c>
      <c r="B14" s="10" t="s">
        <v>175</v>
      </c>
      <c r="C14" s="10" t="s">
        <v>175</v>
      </c>
      <c r="D14" s="1" t="s">
        <v>176</v>
      </c>
      <c r="E14" s="1" t="str">
        <f>_xlfn.CONCAT(Table8[[#This Row],[display_code]]," – ",Table8[[#This Row],[product_name]])</f>
        <v>CRDA – Data Analytics Preparation</v>
      </c>
      <c r="F14" s="10" t="s">
        <v>52</v>
      </c>
      <c r="G14" s="10" t="s">
        <v>49</v>
      </c>
      <c r="H14" s="1" t="s">
        <v>177</v>
      </c>
      <c r="I14" s="1" t="s">
        <v>58</v>
      </c>
      <c r="J14" s="1" t="s">
        <v>43</v>
      </c>
      <c r="K14" s="1" t="s">
        <v>104</v>
      </c>
      <c r="L14" s="1" t="s">
        <v>46</v>
      </c>
      <c r="M14" s="1" t="s">
        <v>139</v>
      </c>
      <c r="N14" s="1" t="s">
        <v>140</v>
      </c>
      <c r="O14" s="1" t="s">
        <v>46</v>
      </c>
      <c r="P14" s="1" t="s">
        <v>46</v>
      </c>
      <c r="Q14" s="1" t="s">
        <v>141</v>
      </c>
      <c r="R14" s="39" t="s">
        <v>178</v>
      </c>
      <c r="S14" s="1" t="s">
        <v>179</v>
      </c>
      <c r="T14" s="1" t="s">
        <v>180</v>
      </c>
      <c r="U14" s="1" t="s">
        <v>181</v>
      </c>
      <c r="V14" s="11" t="s">
        <v>182</v>
      </c>
      <c r="W14" s="1"/>
    </row>
    <row r="15" spans="1:23" ht="87">
      <c r="A15" s="8">
        <f t="shared" si="0"/>
        <v>10</v>
      </c>
      <c r="B15" s="10" t="s">
        <v>183</v>
      </c>
      <c r="C15" s="10" t="s">
        <v>183</v>
      </c>
      <c r="D15" s="1" t="s">
        <v>184</v>
      </c>
      <c r="E15" s="1" t="str">
        <f>_xlfn.CONCAT(Table8[[#This Row],[display_code]]," – ",Table8[[#This Row],[product_name]])</f>
        <v>CSQL – Combo SQL: From Zero to Job-Ready</v>
      </c>
      <c r="F15" s="10" t="s">
        <v>52</v>
      </c>
      <c r="G15" s="10" t="s">
        <v>48</v>
      </c>
      <c r="H15" s="1" t="s">
        <v>185</v>
      </c>
      <c r="I15" s="1" t="s">
        <v>60</v>
      </c>
      <c r="J15" s="1" t="s">
        <v>45</v>
      </c>
      <c r="K15" s="1" t="s">
        <v>104</v>
      </c>
      <c r="L15" s="1" t="s">
        <v>105</v>
      </c>
      <c r="M15" s="1" t="s">
        <v>158</v>
      </c>
      <c r="N15" s="1" t="s">
        <v>140</v>
      </c>
      <c r="O15" s="1" t="s">
        <v>150</v>
      </c>
      <c r="P15" s="1" t="s">
        <v>46</v>
      </c>
      <c r="Q15" s="1" t="s">
        <v>141</v>
      </c>
      <c r="R15" s="39" t="s">
        <v>186</v>
      </c>
      <c r="S15" s="39" t="s">
        <v>187</v>
      </c>
      <c r="T15" s="1" t="s">
        <v>188</v>
      </c>
      <c r="U15" s="1" t="s">
        <v>189</v>
      </c>
      <c r="V15" s="11" t="s">
        <v>190</v>
      </c>
      <c r="W15" s="1"/>
    </row>
    <row r="16" spans="1:23" ht="57.75">
      <c r="A16" s="8">
        <f t="shared" si="0"/>
        <v>11</v>
      </c>
      <c r="B16" s="10" t="s">
        <v>191</v>
      </c>
      <c r="C16" s="10" t="s">
        <v>191</v>
      </c>
      <c r="D16" s="1" t="s">
        <v>192</v>
      </c>
      <c r="E16" s="1" t="str">
        <f>_xlfn.CONCAT(Table8[[#This Row],[display_code]]," – ",Table8[[#This Row],[product_name]])</f>
        <v>DAFD – Data Analytics Foundation</v>
      </c>
      <c r="F16" s="10" t="s">
        <v>52</v>
      </c>
      <c r="G16" s="10" t="s">
        <v>48</v>
      </c>
      <c r="H16" s="1" t="s">
        <v>193</v>
      </c>
      <c r="I16" s="1" t="s">
        <v>56</v>
      </c>
      <c r="J16" s="1" t="s">
        <v>44</v>
      </c>
      <c r="K16" s="1" t="s">
        <v>104</v>
      </c>
      <c r="L16" s="1" t="s">
        <v>105</v>
      </c>
      <c r="M16" s="1" t="s">
        <v>139</v>
      </c>
      <c r="N16" s="1" t="s">
        <v>140</v>
      </c>
      <c r="O16" s="1" t="s">
        <v>150</v>
      </c>
      <c r="P16" s="1" t="s">
        <v>194</v>
      </c>
      <c r="Q16" s="4">
        <v>10500000</v>
      </c>
      <c r="R16" s="1"/>
      <c r="S16" s="1" t="s">
        <v>195</v>
      </c>
      <c r="T16" s="1" t="s">
        <v>196</v>
      </c>
      <c r="U16" s="1" t="s">
        <v>197</v>
      </c>
      <c r="V16" s="11" t="s">
        <v>198</v>
      </c>
      <c r="W16" s="1"/>
    </row>
    <row r="17" spans="1:23" ht="43.5">
      <c r="A17" s="8">
        <f t="shared" si="0"/>
        <v>12</v>
      </c>
      <c r="B17" s="10" t="s">
        <v>199</v>
      </c>
      <c r="C17" s="10" t="s">
        <v>199</v>
      </c>
      <c r="D17" s="1" t="s">
        <v>200</v>
      </c>
      <c r="E17" s="1" t="str">
        <f>_xlfn.CONCAT(Table8[[#This Row],[display_code]]," – ",Table8[[#This Row],[product_name]])</f>
        <v>DAFP – Data Analytics Foundation Plus</v>
      </c>
      <c r="F17" s="10" t="s">
        <v>52</v>
      </c>
      <c r="G17" s="10" t="s">
        <v>48</v>
      </c>
      <c r="H17" s="1" t="s">
        <v>201</v>
      </c>
      <c r="I17" s="1" t="s">
        <v>60</v>
      </c>
      <c r="J17" s="1" t="s">
        <v>45</v>
      </c>
      <c r="K17" s="1" t="s">
        <v>104</v>
      </c>
      <c r="L17" s="1" t="s">
        <v>105</v>
      </c>
      <c r="M17" s="1" t="s">
        <v>139</v>
      </c>
      <c r="N17" s="1" t="s">
        <v>140</v>
      </c>
      <c r="O17" s="1" t="s">
        <v>150</v>
      </c>
      <c r="P17" s="1" t="s">
        <v>202</v>
      </c>
      <c r="Q17" s="4">
        <v>29200000</v>
      </c>
      <c r="R17" s="39" t="s">
        <v>203</v>
      </c>
      <c r="S17" s="39" t="s">
        <v>204</v>
      </c>
      <c r="T17" s="1" t="s">
        <v>205</v>
      </c>
      <c r="U17" s="1" t="s">
        <v>206</v>
      </c>
      <c r="V17" s="11" t="s">
        <v>207</v>
      </c>
      <c r="W17" s="1"/>
    </row>
    <row r="18" spans="1:23" ht="57.75">
      <c r="A18" s="8">
        <f t="shared" si="0"/>
        <v>13</v>
      </c>
      <c r="B18" s="10" t="s">
        <v>208</v>
      </c>
      <c r="C18" s="10" t="s">
        <v>208</v>
      </c>
      <c r="D18" s="1" t="s">
        <v>209</v>
      </c>
      <c r="E18" s="1" t="str">
        <f>_xlfn.CONCAT(Table8[[#This Row],[display_code]]," – ",Table8[[#This Row],[product_name]])</f>
        <v>SPPT – Storytelling with PowerPoint</v>
      </c>
      <c r="F18" s="10" t="s">
        <v>52</v>
      </c>
      <c r="G18" s="10" t="s">
        <v>49</v>
      </c>
      <c r="H18" s="1" t="s">
        <v>210</v>
      </c>
      <c r="I18" s="1" t="s">
        <v>58</v>
      </c>
      <c r="J18" s="1" t="s">
        <v>46</v>
      </c>
      <c r="K18" s="1" t="s">
        <v>104</v>
      </c>
      <c r="L18" s="1" t="s">
        <v>46</v>
      </c>
      <c r="M18" s="1" t="s">
        <v>92</v>
      </c>
      <c r="N18" s="1" t="s">
        <v>159</v>
      </c>
      <c r="O18" s="1" t="s">
        <v>94</v>
      </c>
      <c r="P18" s="1" t="s">
        <v>211</v>
      </c>
      <c r="Q18" s="4">
        <v>2000000</v>
      </c>
      <c r="R18" s="1"/>
      <c r="S18" s="1" t="s">
        <v>212</v>
      </c>
      <c r="T18" s="1" t="s">
        <v>213</v>
      </c>
      <c r="U18" s="1" t="s">
        <v>214</v>
      </c>
      <c r="V18" s="11" t="s">
        <v>215</v>
      </c>
      <c r="W18" s="1" t="s">
        <v>216</v>
      </c>
    </row>
    <row r="19" spans="1:23" ht="57.75">
      <c r="A19" s="8">
        <f t="shared" si="0"/>
        <v>14</v>
      </c>
      <c r="B19" s="10" t="s">
        <v>217</v>
      </c>
      <c r="C19" s="10" t="s">
        <v>217</v>
      </c>
      <c r="D19" s="1" t="s">
        <v>218</v>
      </c>
      <c r="E19" s="1" t="str">
        <f>_xlfn.CONCAT(Table8[[#This Row],[display_code]]," – ",Table8[[#This Row],[product_name]])</f>
        <v>DBAP – Digital Business Analyst Program</v>
      </c>
      <c r="F19" s="10" t="s">
        <v>52</v>
      </c>
      <c r="G19" s="10" t="s">
        <v>48</v>
      </c>
      <c r="H19" s="1" t="s">
        <v>219</v>
      </c>
      <c r="I19" s="1" t="s">
        <v>58</v>
      </c>
      <c r="J19" s="1" t="s">
        <v>43</v>
      </c>
      <c r="K19" s="1" t="s">
        <v>104</v>
      </c>
      <c r="L19" s="1" t="s">
        <v>105</v>
      </c>
      <c r="M19" s="1" t="s">
        <v>139</v>
      </c>
      <c r="N19" s="1" t="s">
        <v>140</v>
      </c>
      <c r="O19" s="1" t="s">
        <v>108</v>
      </c>
      <c r="P19" s="1" t="s">
        <v>220</v>
      </c>
      <c r="Q19" s="4">
        <v>14800000</v>
      </c>
      <c r="R19" s="1"/>
      <c r="S19" s="1" t="s">
        <v>221</v>
      </c>
      <c r="T19" s="1" t="s">
        <v>222</v>
      </c>
      <c r="U19" s="1" t="s">
        <v>223</v>
      </c>
      <c r="V19" s="11" t="s">
        <v>224</v>
      </c>
      <c r="W19" s="1"/>
    </row>
    <row r="20" spans="1:23" ht="72.75">
      <c r="A20" s="8">
        <f t="shared" si="0"/>
        <v>15</v>
      </c>
      <c r="B20" s="10" t="s">
        <v>225</v>
      </c>
      <c r="C20" s="10" t="s">
        <v>226</v>
      </c>
      <c r="D20" s="1" t="s">
        <v>227</v>
      </c>
      <c r="E20" s="1" t="str">
        <f>_xlfn.CONCAT(Table8[[#This Row],[display_code]]," – ",Table8[[#This Row],[product_name]])</f>
        <v>DP-080 – Query and modify data with Transact-SQL</v>
      </c>
      <c r="F20" s="10" t="s">
        <v>52</v>
      </c>
      <c r="G20" s="10" t="s">
        <v>49</v>
      </c>
      <c r="H20" s="1" t="s">
        <v>228</v>
      </c>
      <c r="I20" s="1" t="s">
        <v>56</v>
      </c>
      <c r="J20" s="1" t="s">
        <v>44</v>
      </c>
      <c r="K20" s="1" t="s">
        <v>46</v>
      </c>
      <c r="L20" s="1" t="s">
        <v>105</v>
      </c>
      <c r="M20" s="1" t="s">
        <v>139</v>
      </c>
      <c r="N20" s="1" t="s">
        <v>159</v>
      </c>
      <c r="O20" s="1" t="s">
        <v>150</v>
      </c>
      <c r="P20" s="1" t="s">
        <v>46</v>
      </c>
      <c r="Q20" s="4">
        <v>2600000</v>
      </c>
      <c r="R20" s="39" t="s">
        <v>229</v>
      </c>
      <c r="S20" s="39" t="s">
        <v>230</v>
      </c>
      <c r="T20" s="1" t="s">
        <v>231</v>
      </c>
      <c r="U20" s="1" t="s">
        <v>232</v>
      </c>
      <c r="V20" s="11" t="s">
        <v>233</v>
      </c>
      <c r="W20" s="1"/>
    </row>
    <row r="21" spans="1:23" ht="72.75">
      <c r="A21" s="8">
        <f t="shared" si="0"/>
        <v>16</v>
      </c>
      <c r="B21" s="10" t="s">
        <v>234</v>
      </c>
      <c r="C21" s="10" t="s">
        <v>235</v>
      </c>
      <c r="D21" s="1" t="s">
        <v>236</v>
      </c>
      <c r="E21" s="1" t="str">
        <f>_xlfn.CONCAT(Table8[[#This Row],[display_code]]," – ",Table8[[#This Row],[product_name]])</f>
        <v>DP-600 – Implementing Analytics Solutions Using Microsoft Fabric</v>
      </c>
      <c r="F21" s="10" t="s">
        <v>52</v>
      </c>
      <c r="G21" s="10" t="s">
        <v>49</v>
      </c>
      <c r="H21" s="1" t="s">
        <v>237</v>
      </c>
      <c r="I21" s="1" t="s">
        <v>56</v>
      </c>
      <c r="J21" s="1" t="s">
        <v>44</v>
      </c>
      <c r="K21" s="1" t="s">
        <v>63</v>
      </c>
      <c r="L21" s="1" t="s">
        <v>46</v>
      </c>
      <c r="M21" s="1" t="s">
        <v>238</v>
      </c>
      <c r="N21" s="1" t="s">
        <v>239</v>
      </c>
      <c r="O21" s="1" t="s">
        <v>240</v>
      </c>
      <c r="P21" s="1" t="s">
        <v>241</v>
      </c>
      <c r="Q21" s="1" t="s">
        <v>141</v>
      </c>
      <c r="R21" s="39" t="s">
        <v>242</v>
      </c>
      <c r="S21" s="1" t="s">
        <v>243</v>
      </c>
      <c r="T21" s="1" t="s">
        <v>244</v>
      </c>
      <c r="U21" s="1" t="s">
        <v>245</v>
      </c>
      <c r="V21" s="11" t="s">
        <v>246</v>
      </c>
      <c r="W21" s="1"/>
    </row>
    <row r="22" spans="1:23" ht="72.75">
      <c r="A22" s="8">
        <f t="shared" si="0"/>
        <v>17</v>
      </c>
      <c r="B22" s="10" t="s">
        <v>247</v>
      </c>
      <c r="C22" s="10" t="s">
        <v>248</v>
      </c>
      <c r="D22" s="1" t="s">
        <v>249</v>
      </c>
      <c r="E22" s="1" t="str">
        <f>_xlfn.CONCAT(Table8[[#This Row],[display_code]]," – ",Table8[[#This Row],[product_name]])</f>
        <v>DP-900 – Microsoft Azure Data Fundamentals</v>
      </c>
      <c r="F22" s="10" t="s">
        <v>52</v>
      </c>
      <c r="G22" s="10" t="s">
        <v>49</v>
      </c>
      <c r="H22" s="1" t="s">
        <v>250</v>
      </c>
      <c r="I22" s="1" t="s">
        <v>56</v>
      </c>
      <c r="J22" s="1" t="s">
        <v>44</v>
      </c>
      <c r="K22" s="1" t="s">
        <v>63</v>
      </c>
      <c r="L22" s="1" t="s">
        <v>46</v>
      </c>
      <c r="M22" s="1" t="s">
        <v>158</v>
      </c>
      <c r="N22" s="1" t="s">
        <v>159</v>
      </c>
      <c r="O22" s="1" t="s">
        <v>150</v>
      </c>
      <c r="P22" s="1" t="s">
        <v>46</v>
      </c>
      <c r="Q22" s="4">
        <v>2000000</v>
      </c>
      <c r="R22" s="39" t="s">
        <v>251</v>
      </c>
      <c r="S22" s="1" t="s">
        <v>252</v>
      </c>
      <c r="T22" s="1" t="s">
        <v>253</v>
      </c>
      <c r="U22" s="1" t="s">
        <v>254</v>
      </c>
      <c r="V22" s="11" t="s">
        <v>255</v>
      </c>
      <c r="W22" s="1"/>
    </row>
    <row r="23" spans="1:23" ht="57.75">
      <c r="A23" s="8">
        <f t="shared" si="0"/>
        <v>18</v>
      </c>
      <c r="B23" s="10" t="s">
        <v>256</v>
      </c>
      <c r="C23" s="10" t="s">
        <v>256</v>
      </c>
      <c r="D23" s="1" t="s">
        <v>257</v>
      </c>
      <c r="E23" s="1" t="str">
        <f>_xlfn.CONCAT(Table8[[#This Row],[display_code]]," – ",Table8[[#This Row],[product_name]])</f>
        <v>EXDA – Excel for Data Analytics</v>
      </c>
      <c r="F23" s="10" t="s">
        <v>52</v>
      </c>
      <c r="G23" s="10" t="s">
        <v>49</v>
      </c>
      <c r="H23" s="1" t="s">
        <v>258</v>
      </c>
      <c r="I23" s="1" t="s">
        <v>58</v>
      </c>
      <c r="J23" s="1" t="s">
        <v>46</v>
      </c>
      <c r="K23" s="1" t="s">
        <v>104</v>
      </c>
      <c r="L23" s="1" t="s">
        <v>46</v>
      </c>
      <c r="M23" s="1" t="s">
        <v>92</v>
      </c>
      <c r="N23" s="1" t="s">
        <v>159</v>
      </c>
      <c r="O23" s="1" t="s">
        <v>94</v>
      </c>
      <c r="P23" s="1" t="s">
        <v>211</v>
      </c>
      <c r="Q23" s="4">
        <v>1500000</v>
      </c>
      <c r="R23" s="39" t="s">
        <v>259</v>
      </c>
      <c r="S23" s="1" t="s">
        <v>260</v>
      </c>
      <c r="T23" s="1" t="s">
        <v>261</v>
      </c>
      <c r="U23" s="1" t="s">
        <v>262</v>
      </c>
      <c r="V23" s="11" t="s">
        <v>263</v>
      </c>
      <c r="W23" s="1" t="s">
        <v>264</v>
      </c>
    </row>
    <row r="24" spans="1:23" ht="57.75">
      <c r="A24" s="8">
        <f t="shared" si="0"/>
        <v>19</v>
      </c>
      <c r="B24" s="10" t="s">
        <v>265</v>
      </c>
      <c r="C24" s="10" t="s">
        <v>265</v>
      </c>
      <c r="D24" s="1" t="s">
        <v>266</v>
      </c>
      <c r="E24" s="1" t="str">
        <f>_xlfn.CONCAT(Table8[[#This Row],[display_code]]," – ",Table8[[#This Row],[product_name]])</f>
        <v>EXQP – Power Excel Mastery: Query &amp; Pivot Essentials</v>
      </c>
      <c r="F24" s="10" t="s">
        <v>52</v>
      </c>
      <c r="G24" s="10" t="s">
        <v>49</v>
      </c>
      <c r="H24" s="1" t="s">
        <v>267</v>
      </c>
      <c r="I24" s="1" t="s">
        <v>58</v>
      </c>
      <c r="J24" s="1" t="s">
        <v>46</v>
      </c>
      <c r="K24" s="1" t="s">
        <v>104</v>
      </c>
      <c r="L24" s="1" t="s">
        <v>46</v>
      </c>
      <c r="M24" s="1" t="s">
        <v>268</v>
      </c>
      <c r="N24" s="1" t="s">
        <v>269</v>
      </c>
      <c r="O24" s="1" t="s">
        <v>94</v>
      </c>
      <c r="P24" s="1" t="s">
        <v>270</v>
      </c>
      <c r="Q24" s="4">
        <v>4000000</v>
      </c>
      <c r="R24" s="39" t="s">
        <v>271</v>
      </c>
      <c r="S24" s="39" t="s">
        <v>272</v>
      </c>
      <c r="T24" s="1" t="s">
        <v>273</v>
      </c>
      <c r="U24" s="1" t="s">
        <v>274</v>
      </c>
      <c r="V24" s="11" t="s">
        <v>275</v>
      </c>
      <c r="W24" s="1"/>
    </row>
    <row r="25" spans="1:23" ht="57.75">
      <c r="A25" s="8">
        <f t="shared" si="0"/>
        <v>20</v>
      </c>
      <c r="B25" s="10" t="s">
        <v>276</v>
      </c>
      <c r="C25" s="10" t="s">
        <v>276</v>
      </c>
      <c r="D25" s="1" t="s">
        <v>277</v>
      </c>
      <c r="E25" s="1" t="str">
        <f>_xlfn.CONCAT(Table8[[#This Row],[display_code]]," – ",Table8[[#This Row],[product_name]])</f>
        <v>ISTT – Instructional Skills for Tech Trainer</v>
      </c>
      <c r="F25" s="10" t="s">
        <v>52</v>
      </c>
      <c r="G25" s="10" t="s">
        <v>49</v>
      </c>
      <c r="H25" s="1" t="s">
        <v>278</v>
      </c>
      <c r="I25" s="1" t="s">
        <v>58</v>
      </c>
      <c r="J25" s="1" t="s">
        <v>43</v>
      </c>
      <c r="K25" s="1" t="s">
        <v>104</v>
      </c>
      <c r="L25" s="1" t="s">
        <v>105</v>
      </c>
      <c r="M25" s="1" t="s">
        <v>46</v>
      </c>
      <c r="N25" s="1" t="s">
        <v>46</v>
      </c>
      <c r="O25" s="1" t="s">
        <v>279</v>
      </c>
      <c r="P25" s="1" t="s">
        <v>280</v>
      </c>
      <c r="Q25" s="4">
        <v>45000000</v>
      </c>
      <c r="R25" s="39" t="s">
        <v>281</v>
      </c>
      <c r="S25" s="1" t="s">
        <v>282</v>
      </c>
      <c r="T25" s="1" t="s">
        <v>283</v>
      </c>
      <c r="U25" s="1" t="s">
        <v>284</v>
      </c>
      <c r="V25" s="11" t="s">
        <v>285</v>
      </c>
      <c r="W25" s="1"/>
    </row>
    <row r="26" spans="1:23" ht="57.75">
      <c r="A26" s="8">
        <f t="shared" si="0"/>
        <v>21</v>
      </c>
      <c r="B26" s="10" t="s">
        <v>286</v>
      </c>
      <c r="C26" s="10" t="s">
        <v>286</v>
      </c>
      <c r="D26" s="1" t="s">
        <v>287</v>
      </c>
      <c r="E26" s="1" t="str">
        <f>_xlfn.CONCAT(Table8[[#This Row],[display_code]]," – ",Table8[[#This Row],[product_name]])</f>
        <v>MCEV – Microsoft Certification Exam Voucher</v>
      </c>
      <c r="F26" s="10" t="s">
        <v>52</v>
      </c>
      <c r="G26" s="10" t="s">
        <v>50</v>
      </c>
      <c r="H26" s="1" t="s">
        <v>288</v>
      </c>
      <c r="I26" s="1" t="s">
        <v>56</v>
      </c>
      <c r="J26" s="1" t="s">
        <v>44</v>
      </c>
      <c r="K26" s="1" t="s">
        <v>104</v>
      </c>
      <c r="L26" s="1" t="s">
        <v>46</v>
      </c>
      <c r="M26" s="1" t="s">
        <v>46</v>
      </c>
      <c r="N26" s="1" t="s">
        <v>46</v>
      </c>
      <c r="O26" s="1" t="s">
        <v>46</v>
      </c>
      <c r="P26" s="1" t="s">
        <v>46</v>
      </c>
      <c r="Q26" s="4">
        <v>2400000</v>
      </c>
      <c r="R26" s="1" t="s">
        <v>289</v>
      </c>
      <c r="S26" s="1" t="s">
        <v>290</v>
      </c>
      <c r="T26" s="1" t="s">
        <v>289</v>
      </c>
      <c r="U26" s="1" t="s">
        <v>291</v>
      </c>
      <c r="V26" s="11" t="s">
        <v>292</v>
      </c>
      <c r="W26" s="1"/>
    </row>
    <row r="27" spans="1:23" ht="57.75">
      <c r="A27" s="8">
        <f t="shared" si="0"/>
        <v>22</v>
      </c>
      <c r="B27" s="10" t="s">
        <v>293</v>
      </c>
      <c r="C27" s="10" t="s">
        <v>294</v>
      </c>
      <c r="D27" s="1" t="s">
        <v>295</v>
      </c>
      <c r="E27" s="1" t="str">
        <f>_xlfn.CONCAT(Table8[[#This Row],[display_code]]," – ",Table8[[#This Row],[product_name]])</f>
        <v>MS-900 – Microsoft 365 Fundamentals</v>
      </c>
      <c r="F27" s="10" t="s">
        <v>52</v>
      </c>
      <c r="G27" s="10" t="s">
        <v>49</v>
      </c>
      <c r="H27" s="1" t="s">
        <v>296</v>
      </c>
      <c r="I27" s="1" t="s">
        <v>56</v>
      </c>
      <c r="J27" s="1" t="s">
        <v>44</v>
      </c>
      <c r="K27" s="1" t="s">
        <v>63</v>
      </c>
      <c r="L27" s="1" t="s">
        <v>46</v>
      </c>
      <c r="M27" s="1" t="s">
        <v>92</v>
      </c>
      <c r="N27" s="1" t="s">
        <v>159</v>
      </c>
      <c r="O27" s="1" t="s">
        <v>150</v>
      </c>
      <c r="P27" s="1" t="s">
        <v>297</v>
      </c>
      <c r="Q27" s="4">
        <v>2000000</v>
      </c>
      <c r="R27" s="39" t="s">
        <v>298</v>
      </c>
      <c r="S27" s="1" t="s">
        <v>299</v>
      </c>
      <c r="T27" s="1" t="s">
        <v>300</v>
      </c>
      <c r="U27" s="1" t="s">
        <v>301</v>
      </c>
      <c r="V27" s="11" t="s">
        <v>302</v>
      </c>
      <c r="W27" s="1"/>
    </row>
    <row r="28" spans="1:23" ht="87">
      <c r="A28" s="8">
        <f t="shared" si="0"/>
        <v>23</v>
      </c>
      <c r="B28" s="10" t="s">
        <v>303</v>
      </c>
      <c r="C28" s="10" t="s">
        <v>304</v>
      </c>
      <c r="D28" s="1" t="s">
        <v>305</v>
      </c>
      <c r="E28" s="1" t="str">
        <f>_xlfn.CONCAT(Table8[[#This Row],[display_code]]," – ",Table8[[#This Row],[product_name]])</f>
        <v>PL-300 – Microsoft Power BI Data Analyst</v>
      </c>
      <c r="F28" s="10" t="s">
        <v>52</v>
      </c>
      <c r="G28" s="10" t="s">
        <v>49</v>
      </c>
      <c r="H28" s="1" t="s">
        <v>306</v>
      </c>
      <c r="I28" s="1" t="s">
        <v>56</v>
      </c>
      <c r="J28" s="1" t="s">
        <v>44</v>
      </c>
      <c r="K28" s="1" t="s">
        <v>63</v>
      </c>
      <c r="L28" s="1" t="s">
        <v>105</v>
      </c>
      <c r="M28" s="1" t="s">
        <v>158</v>
      </c>
      <c r="N28" s="1" t="s">
        <v>159</v>
      </c>
      <c r="O28" s="1" t="s">
        <v>150</v>
      </c>
      <c r="P28" s="1" t="s">
        <v>241</v>
      </c>
      <c r="Q28" s="4">
        <v>6000000</v>
      </c>
      <c r="R28" s="39" t="s">
        <v>307</v>
      </c>
      <c r="S28" s="39" t="s">
        <v>308</v>
      </c>
      <c r="T28" s="1" t="s">
        <v>309</v>
      </c>
      <c r="U28" s="1" t="s">
        <v>310</v>
      </c>
      <c r="V28" s="11" t="s">
        <v>311</v>
      </c>
      <c r="W28" s="1" t="s">
        <v>312</v>
      </c>
    </row>
    <row r="29" spans="1:23" ht="57.75">
      <c r="A29" s="8">
        <f t="shared" si="0"/>
        <v>24</v>
      </c>
      <c r="B29" s="10" t="s">
        <v>313</v>
      </c>
      <c r="C29" s="10" t="s">
        <v>314</v>
      </c>
      <c r="D29" s="1" t="s">
        <v>315</v>
      </c>
      <c r="E29" s="1" t="str">
        <f>_xlfn.CONCAT(Table8[[#This Row],[display_code]]," – ",Table8[[#This Row],[product_name]])</f>
        <v>PL-7001 – Create and Manage Canvas Apps with Power Apps</v>
      </c>
      <c r="F29" s="10" t="s">
        <v>52</v>
      </c>
      <c r="G29" s="10" t="s">
        <v>49</v>
      </c>
      <c r="H29" s="1" t="s">
        <v>316</v>
      </c>
      <c r="I29" s="1" t="s">
        <v>56</v>
      </c>
      <c r="J29" s="1" t="s">
        <v>44</v>
      </c>
      <c r="K29" s="1" t="s">
        <v>64</v>
      </c>
      <c r="L29" s="1" t="s">
        <v>105</v>
      </c>
      <c r="M29" s="1" t="s">
        <v>158</v>
      </c>
      <c r="N29" s="1" t="s">
        <v>159</v>
      </c>
      <c r="O29" s="1" t="s">
        <v>108</v>
      </c>
      <c r="P29" s="1" t="s">
        <v>130</v>
      </c>
      <c r="Q29" s="4">
        <v>6000000</v>
      </c>
      <c r="R29" s="39" t="s">
        <v>317</v>
      </c>
      <c r="S29" s="1" t="s">
        <v>318</v>
      </c>
      <c r="T29" s="39" t="s">
        <v>319</v>
      </c>
      <c r="U29" s="1" t="s">
        <v>320</v>
      </c>
      <c r="V29" s="11" t="s">
        <v>321</v>
      </c>
      <c r="W29" s="1"/>
    </row>
    <row r="30" spans="1:23" ht="72.75">
      <c r="A30" s="8">
        <f t="shared" si="0"/>
        <v>25</v>
      </c>
      <c r="B30" s="10" t="s">
        <v>322</v>
      </c>
      <c r="C30" s="10" t="s">
        <v>323</v>
      </c>
      <c r="D30" s="1" t="s">
        <v>324</v>
      </c>
      <c r="E30" s="1" t="str">
        <f>_xlfn.CONCAT(Table8[[#This Row],[display_code]]," – ",Table8[[#This Row],[product_name]])</f>
        <v>PL-7002 – Create and Manage Automated Processes by using Power Automate</v>
      </c>
      <c r="F30" s="10" t="s">
        <v>52</v>
      </c>
      <c r="G30" s="10" t="s">
        <v>49</v>
      </c>
      <c r="H30" s="1" t="s">
        <v>325</v>
      </c>
      <c r="I30" s="1" t="s">
        <v>56</v>
      </c>
      <c r="J30" s="1" t="s">
        <v>44</v>
      </c>
      <c r="K30" s="1" t="s">
        <v>64</v>
      </c>
      <c r="L30" s="1" t="s">
        <v>105</v>
      </c>
      <c r="M30" s="1" t="s">
        <v>158</v>
      </c>
      <c r="N30" s="1" t="s">
        <v>326</v>
      </c>
      <c r="O30" s="1" t="s">
        <v>108</v>
      </c>
      <c r="P30" s="1" t="s">
        <v>130</v>
      </c>
      <c r="Q30" s="4">
        <v>6000000</v>
      </c>
      <c r="R30" s="39" t="s">
        <v>327</v>
      </c>
      <c r="S30" s="1" t="s">
        <v>328</v>
      </c>
      <c r="T30" s="39" t="s">
        <v>329</v>
      </c>
      <c r="U30" s="1" t="s">
        <v>330</v>
      </c>
      <c r="V30" s="11" t="s">
        <v>331</v>
      </c>
      <c r="W30" s="1"/>
    </row>
    <row r="31" spans="1:23" ht="57.75">
      <c r="A31" s="8">
        <f>ROW()-5</f>
        <v>26</v>
      </c>
      <c r="B31" s="10" t="s">
        <v>332</v>
      </c>
      <c r="C31" s="10" t="s">
        <v>333</v>
      </c>
      <c r="D31" s="1" t="s">
        <v>334</v>
      </c>
      <c r="E31" s="1" t="str">
        <f>_xlfn.CONCAT(Table8[[#This Row],[display_code]]," – ",Table8[[#This Row],[product_name]])</f>
        <v>PL-7003 – Create and Manage Model-Driven Apps with Power Apps and Dataverse</v>
      </c>
      <c r="F31" s="46" t="s">
        <v>53</v>
      </c>
      <c r="G31" s="10" t="s">
        <v>49</v>
      </c>
      <c r="H31" s="1" t="s">
        <v>335</v>
      </c>
      <c r="I31" s="1" t="s">
        <v>56</v>
      </c>
      <c r="J31" s="1" t="s">
        <v>44</v>
      </c>
      <c r="K31" s="1" t="s">
        <v>64</v>
      </c>
      <c r="L31" s="1" t="s">
        <v>105</v>
      </c>
      <c r="M31" s="1" t="s">
        <v>158</v>
      </c>
      <c r="N31" s="1" t="s">
        <v>336</v>
      </c>
      <c r="O31" s="1" t="s">
        <v>108</v>
      </c>
      <c r="P31" s="1" t="s">
        <v>130</v>
      </c>
      <c r="Q31" s="4">
        <v>6000000</v>
      </c>
      <c r="R31" s="59"/>
      <c r="S31" s="1"/>
      <c r="T31" s="39"/>
      <c r="U31" s="1"/>
      <c r="V31" s="11"/>
      <c r="W31" s="1"/>
    </row>
    <row r="32" spans="1:23" ht="87">
      <c r="A32" s="8">
        <f t="shared" si="0"/>
        <v>27</v>
      </c>
      <c r="B32" s="10" t="s">
        <v>337</v>
      </c>
      <c r="C32" s="10" t="s">
        <v>337</v>
      </c>
      <c r="D32" s="1" t="s">
        <v>338</v>
      </c>
      <c r="E32" s="1" t="str">
        <f>_xlfn.CONCAT(Table8[[#This Row],[display_code]]," – ",Table8[[#This Row],[product_name]])</f>
        <v>PYDA – Python for Data Analytics</v>
      </c>
      <c r="F32" s="10" t="s">
        <v>52</v>
      </c>
      <c r="G32" s="10" t="s">
        <v>49</v>
      </c>
      <c r="H32" s="1" t="s">
        <v>339</v>
      </c>
      <c r="I32" s="1" t="s">
        <v>58</v>
      </c>
      <c r="J32" s="1" t="s">
        <v>43</v>
      </c>
      <c r="K32" s="1" t="s">
        <v>104</v>
      </c>
      <c r="L32" s="1" t="s">
        <v>105</v>
      </c>
      <c r="M32" s="1" t="s">
        <v>158</v>
      </c>
      <c r="N32" s="1" t="s">
        <v>159</v>
      </c>
      <c r="O32" s="1" t="s">
        <v>150</v>
      </c>
      <c r="P32" s="1" t="s">
        <v>130</v>
      </c>
      <c r="Q32" s="4">
        <v>3000000</v>
      </c>
      <c r="R32" s="39" t="s">
        <v>340</v>
      </c>
      <c r="S32" s="39" t="s">
        <v>341</v>
      </c>
      <c r="T32" s="1" t="s">
        <v>342</v>
      </c>
      <c r="U32" s="1" t="s">
        <v>343</v>
      </c>
      <c r="V32" s="11" t="s">
        <v>344</v>
      </c>
      <c r="W32" s="1"/>
    </row>
    <row r="33" spans="1:23" ht="43.5">
      <c r="A33" s="8">
        <f>ROW()-5</f>
        <v>28</v>
      </c>
      <c r="B33" s="10"/>
      <c r="C33" s="10"/>
      <c r="D33" s="3" t="s">
        <v>345</v>
      </c>
      <c r="E33" s="1"/>
      <c r="F33" s="46" t="s">
        <v>54</v>
      </c>
      <c r="G33" s="10" t="s">
        <v>48</v>
      </c>
      <c r="H33" s="1" t="s">
        <v>346</v>
      </c>
      <c r="I33" s="1" t="s">
        <v>58</v>
      </c>
      <c r="J33" s="1" t="s">
        <v>43</v>
      </c>
      <c r="K33" s="1" t="s">
        <v>104</v>
      </c>
      <c r="L33" s="1" t="s">
        <v>105</v>
      </c>
      <c r="M33" s="1" t="s">
        <v>92</v>
      </c>
      <c r="N33" s="1" t="s">
        <v>159</v>
      </c>
      <c r="O33" s="1" t="s">
        <v>150</v>
      </c>
      <c r="P33" s="1" t="s">
        <v>347</v>
      </c>
      <c r="Q33" s="4"/>
      <c r="R33" s="59" t="s">
        <v>348</v>
      </c>
      <c r="S33" s="1" t="s">
        <v>349</v>
      </c>
      <c r="T33" s="1" t="s">
        <v>350</v>
      </c>
      <c r="U33" s="1"/>
      <c r="V33" s="1"/>
      <c r="W33" s="1"/>
    </row>
    <row r="34" spans="1:23" ht="72.75">
      <c r="A34" s="8">
        <f>ROW()-5</f>
        <v>29</v>
      </c>
      <c r="B34" s="10"/>
      <c r="C34" s="10"/>
      <c r="D34" s="3" t="s">
        <v>351</v>
      </c>
      <c r="E34" s="1"/>
      <c r="F34" s="46" t="s">
        <v>54</v>
      </c>
      <c r="G34" s="10" t="s">
        <v>48</v>
      </c>
      <c r="H34" s="1" t="s">
        <v>352</v>
      </c>
      <c r="I34" s="1" t="s">
        <v>58</v>
      </c>
      <c r="J34" s="1" t="s">
        <v>43</v>
      </c>
      <c r="K34" s="1" t="s">
        <v>104</v>
      </c>
      <c r="L34" s="1" t="s">
        <v>105</v>
      </c>
      <c r="M34" s="1" t="s">
        <v>92</v>
      </c>
      <c r="N34" s="1" t="s">
        <v>159</v>
      </c>
      <c r="O34" s="1" t="s">
        <v>150</v>
      </c>
      <c r="P34" s="1" t="s">
        <v>353</v>
      </c>
      <c r="Q34" s="4"/>
      <c r="R34" s="59" t="s">
        <v>354</v>
      </c>
      <c r="S34" s="1" t="s">
        <v>355</v>
      </c>
      <c r="T34" s="1" t="s">
        <v>356</v>
      </c>
      <c r="U34" s="1"/>
      <c r="V34" s="1"/>
      <c r="W34" s="1"/>
    </row>
    <row r="35" spans="1:23" ht="43.5">
      <c r="A35" s="8">
        <f>ROW()-5</f>
        <v>30</v>
      </c>
      <c r="B35" s="10"/>
      <c r="C35" s="10"/>
      <c r="D35" s="3" t="s">
        <v>357</v>
      </c>
      <c r="E35" s="1"/>
      <c r="F35" s="46" t="s">
        <v>54</v>
      </c>
      <c r="G35" s="10" t="s">
        <v>48</v>
      </c>
      <c r="H35" s="1" t="s">
        <v>358</v>
      </c>
      <c r="I35" s="1" t="s">
        <v>60</v>
      </c>
      <c r="J35" s="1" t="s">
        <v>45</v>
      </c>
      <c r="K35" s="1" t="s">
        <v>104</v>
      </c>
      <c r="L35" s="1" t="s">
        <v>105</v>
      </c>
      <c r="M35" s="1" t="s">
        <v>92</v>
      </c>
      <c r="N35" s="1" t="s">
        <v>159</v>
      </c>
      <c r="O35" s="1" t="s">
        <v>150</v>
      </c>
      <c r="P35" s="1" t="s">
        <v>194</v>
      </c>
      <c r="Q35" s="4"/>
      <c r="R35" s="59" t="s">
        <v>359</v>
      </c>
      <c r="S35" s="39" t="s">
        <v>360</v>
      </c>
      <c r="T35" s="1" t="s">
        <v>361</v>
      </c>
      <c r="U35" s="1"/>
      <c r="V35" s="1"/>
      <c r="W35" s="1"/>
    </row>
    <row r="36" spans="1:23"/>
    <row r="37" spans="1:23"/>
    <row r="38" spans="1:23"/>
    <row r="39" spans="1:23"/>
    <row r="40" spans="1:23"/>
    <row r="41" spans="1:23">
      <c r="E41" s="1"/>
    </row>
    <row r="42" spans="1:23"/>
    <row r="43" spans="1:23"/>
  </sheetData>
  <conditionalFormatting sqref="F6:H27 F29:H32 F28:G28">
    <cfRule type="beginsWith" dxfId="97" priority="3" operator="beginsWith" text="Inactive">
      <formula>LEFT(F6,LEN("Inactive"))="Inactive"</formula>
    </cfRule>
  </conditionalFormatting>
  <conditionalFormatting sqref="F6:H27 F29:H32 F28:G28">
    <cfRule type="beginsWith" dxfId="96" priority="2" operator="beginsWith" text="Active">
      <formula>LEFT(F6,LEN("Active"))="Active"</formula>
    </cfRule>
  </conditionalFormatting>
  <conditionalFormatting sqref="F6:F35">
    <cfRule type="containsText" dxfId="95" priority="1" operator="containsText" text="Draft">
      <formula>NOT(ISERROR(SEARCH("Draft",F6)))</formula>
    </cfRule>
  </conditionalFormatting>
  <dataValidations count="3">
    <dataValidation allowBlank="1" showInputMessage="1" showErrorMessage="1" sqref="H6:H27 H29:H32" xr:uid="{D1FCA928-A807-4C55-88F2-A4313E7F4042}"/>
    <dataValidation type="list" allowBlank="1" showInputMessage="1" showErrorMessage="1" sqref="G6:G35" xr:uid="{9B77BE65-B47A-4596-BF75-FAB1B6AFD168}">
      <formula1>$B$9:$B$12</formula1>
    </dataValidation>
    <dataValidation type="list" allowBlank="1" showInputMessage="1" showErrorMessage="1" sqref="F6:F35" xr:uid="{78630B8C-581E-43B4-B6DB-E168FCB0C768}">
      <formula1>$B$14:$B$17</formula1>
    </dataValidation>
  </dataValidations>
  <hyperlinks>
    <hyperlink ref="V20" r:id="rId1" xr:uid="{0875F5D0-CB17-4555-9F15-01C782B81987}"/>
    <hyperlink ref="V6" r:id="rId2" xr:uid="{AD20B902-7DFE-487F-A20C-D03FDC492DEB}"/>
    <hyperlink ref="V28" r:id="rId3" xr:uid="{481CE379-A985-42D5-81C7-90DD99B0FE2D}"/>
    <hyperlink ref="V16" r:id="rId4" xr:uid="{EE40260E-BAC6-4720-968F-A7B508422A71}"/>
    <hyperlink ref="V32" r:id="rId5" xr:uid="{1E91AB7D-51EB-4678-905D-42E2A256ACC8}"/>
    <hyperlink ref="V22" r:id="rId6" xr:uid="{4DF97FC3-D7B6-4003-B966-315BDE89930E}"/>
    <hyperlink ref="V8" r:id="rId7" xr:uid="{CA131D0A-F49D-4ADD-836B-65A0506F0031}"/>
    <hyperlink ref="V11" r:id="rId8" xr:uid="{F273DA26-31D0-4533-8702-FAB4DEBE708C}"/>
    <hyperlink ref="V26" r:id="rId9" xr:uid="{528E0D6B-872F-4868-BFB6-4225EB8CB64D}"/>
    <hyperlink ref="V23" r:id="rId10" xr:uid="{9EF66C58-B21E-43E6-8D5B-078D593CE857}"/>
    <hyperlink ref="V12" r:id="rId11" xr:uid="{A97817DE-3D67-45FE-8113-C491500B0B31}"/>
    <hyperlink ref="V15" r:id="rId12" xr:uid="{D0CC4266-2249-491F-A543-C0C6F309832C}"/>
    <hyperlink ref="V17" r:id="rId13" xr:uid="{E17B2AC7-5D72-40C9-BB42-A9CF4340ADBF}"/>
    <hyperlink ref="V18" r:id="rId14" xr:uid="{945340F8-B4B7-4F42-9A7E-0C78F10EF006}"/>
    <hyperlink ref="V9" r:id="rId15" xr:uid="{30296BCF-3DC9-4C3B-AB8A-D73CAA519041}"/>
    <hyperlink ref="V30" r:id="rId16" xr:uid="{CF6A87F8-B51F-424E-825B-D8AEA425E537}"/>
    <hyperlink ref="V29" r:id="rId17" xr:uid="{24B2FAE5-1F41-4334-8258-8A3B55B4503A}"/>
    <hyperlink ref="V19" r:id="rId18" xr:uid="{A0F059CB-E63D-48C7-909E-22AA6E26FF63}"/>
    <hyperlink ref="V24" r:id="rId19" xr:uid="{14378C24-EE85-4D99-B2E3-D245BA648B8C}"/>
    <hyperlink ref="V21" r:id="rId20" xr:uid="{56D3CD8E-9D5A-48D7-A4DB-2EC953A55A83}"/>
    <hyperlink ref="V13" r:id="rId21" xr:uid="{D44F14E4-7C6B-4F42-891A-FBCE82598DBC}"/>
    <hyperlink ref="V25" r:id="rId22" xr:uid="{3EA95F04-3E56-43D4-993F-C918E83BA30E}"/>
    <hyperlink ref="V14" r:id="rId23" xr:uid="{E0B2ED31-483B-4FBD-9467-9C9D7C03BEE2}"/>
    <hyperlink ref="V7" r:id="rId24" xr:uid="{2E4B652B-B3C7-4DB4-8C40-476B4A46FF88}"/>
    <hyperlink ref="V10" r:id="rId25" xr:uid="{2AB7DCAC-77B1-4023-9F61-C5FAA90A964D}"/>
    <hyperlink ref="V27" r:id="rId26" xr:uid="{4449C29E-BCB8-4AE0-960D-21D5CCE03FF5}"/>
  </hyperlinks>
  <pageMargins left="0.7" right="0.7" top="0.75" bottom="0.75" header="0.3" footer="0.3"/>
  <pageSetup fitToWidth="0" fitToHeight="0" orientation="portrait"/>
  <tableParts count="1">
    <tablePart r:id="rId27"/>
  </tableParts>
  <extLst>
    <ext xmlns:x14="http://schemas.microsoft.com/office/spreadsheetml/2009/9/main" uri="{CCE6A557-97BC-4b89-ADB6-D9C93CAAB3DF}">
      <x14:dataValidations xmlns:xm="http://schemas.microsoft.com/office/excel/2006/main" count="3">
        <x14:dataValidation type="list" allowBlank="1" showInputMessage="1" showErrorMessage="1" xr:uid="{B9BA948E-6410-4BD4-9CED-5594C645148E}">
          <x14:formula1>
            <xm:f>'02. Definition'!$D$16:$D$18</xm:f>
          </x14:formula1>
          <xm:sqref>I6:I35</xm:sqref>
        </x14:dataValidation>
        <x14:dataValidation type="list" allowBlank="1" showInputMessage="1" showErrorMessage="1" xr:uid="{1A2635CD-8608-4948-9548-053385C487E0}">
          <x14:formula1>
            <xm:f>'02. Definition'!$D$6:$D$9</xm:f>
          </x14:formula1>
          <xm:sqref>J6:J35</xm:sqref>
        </x14:dataValidation>
        <x14:dataValidation type="list" allowBlank="1" showInputMessage="1" showErrorMessage="1" xr:uid="{BDC1F784-0214-4ADE-96AD-BCA42BA77D02}">
          <x14:formula1>
            <xm:f>'02. Definition'!$D$19:$D$22</xm:f>
          </x14:formula1>
          <xm:sqref>K6:K35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0DFB7-C1FF-44AC-959F-A04E16B1F78B}">
  <dimension ref="A1:F22"/>
  <sheetViews>
    <sheetView workbookViewId="0">
      <selection activeCell="C3" sqref="C3"/>
    </sheetView>
  </sheetViews>
  <sheetFormatPr defaultRowHeight="15"/>
  <cols>
    <col min="1" max="1" width="5.85546875" customWidth="1"/>
    <col min="2" max="2" width="10.85546875" bestFit="1" customWidth="1"/>
    <col min="3" max="3" width="23.28515625" customWidth="1"/>
    <col min="4" max="4" width="33.5703125" customWidth="1"/>
    <col min="5" max="5" width="77" customWidth="1"/>
  </cols>
  <sheetData>
    <row r="1" spans="1:6" ht="21">
      <c r="A1" s="7" t="s">
        <v>362</v>
      </c>
    </row>
    <row r="2" spans="1:6" ht="15.75">
      <c r="A2" s="6" t="s">
        <v>1</v>
      </c>
    </row>
    <row r="3" spans="1:6" ht="15.75">
      <c r="A3" s="6" t="s">
        <v>2</v>
      </c>
    </row>
    <row r="5" spans="1:6">
      <c r="A5" s="92" t="s">
        <v>66</v>
      </c>
      <c r="B5" s="92" t="s">
        <v>363</v>
      </c>
      <c r="C5" s="92" t="s">
        <v>364</v>
      </c>
      <c r="D5" s="93" t="s">
        <v>365</v>
      </c>
      <c r="E5" s="1" t="s">
        <v>366</v>
      </c>
    </row>
    <row r="6" spans="1:6">
      <c r="A6" s="95">
        <v>1</v>
      </c>
      <c r="B6" s="95">
        <v>1</v>
      </c>
      <c r="C6" s="95" t="s">
        <v>42</v>
      </c>
      <c r="D6" s="100" t="s">
        <v>43</v>
      </c>
      <c r="E6" s="1" t="s">
        <v>367</v>
      </c>
    </row>
    <row r="7" spans="1:6">
      <c r="A7" s="95">
        <v>2</v>
      </c>
      <c r="B7" s="95">
        <v>1</v>
      </c>
      <c r="C7" s="95" t="s">
        <v>42</v>
      </c>
      <c r="D7" s="93" t="s">
        <v>44</v>
      </c>
      <c r="E7" s="94" t="s">
        <v>368</v>
      </c>
    </row>
    <row r="8" spans="1:6" ht="29.25">
      <c r="A8" s="95">
        <v>3</v>
      </c>
      <c r="B8" s="95">
        <v>1</v>
      </c>
      <c r="C8" s="95" t="s">
        <v>42</v>
      </c>
      <c r="D8" s="94" t="s">
        <v>45</v>
      </c>
      <c r="E8" s="94" t="s">
        <v>369</v>
      </c>
    </row>
    <row r="9" spans="1:6">
      <c r="A9" s="95">
        <v>4</v>
      </c>
      <c r="B9" s="95">
        <v>1</v>
      </c>
      <c r="C9" s="95" t="s">
        <v>42</v>
      </c>
      <c r="D9" s="93" t="s">
        <v>46</v>
      </c>
      <c r="E9" s="94" t="s">
        <v>370</v>
      </c>
    </row>
    <row r="10" spans="1:6">
      <c r="A10" s="95">
        <v>5</v>
      </c>
      <c r="B10" s="93">
        <v>2</v>
      </c>
      <c r="C10" s="93" t="s">
        <v>47</v>
      </c>
      <c r="D10" s="93" t="s">
        <v>48</v>
      </c>
      <c r="E10" s="94" t="s">
        <v>371</v>
      </c>
    </row>
    <row r="11" spans="1:6">
      <c r="A11" s="95">
        <v>6</v>
      </c>
      <c r="B11" s="93">
        <v>2</v>
      </c>
      <c r="C11" s="93" t="s">
        <v>47</v>
      </c>
      <c r="D11" s="93" t="s">
        <v>49</v>
      </c>
      <c r="E11" s="94" t="s">
        <v>372</v>
      </c>
    </row>
    <row r="12" spans="1:6">
      <c r="A12" s="95">
        <v>7</v>
      </c>
      <c r="B12" s="93">
        <v>2</v>
      </c>
      <c r="C12" s="93" t="s">
        <v>47</v>
      </c>
      <c r="D12" s="93" t="s">
        <v>50</v>
      </c>
      <c r="E12" s="94" t="s">
        <v>373</v>
      </c>
    </row>
    <row r="13" spans="1:6">
      <c r="A13" s="95">
        <v>8</v>
      </c>
      <c r="B13" s="93">
        <v>3</v>
      </c>
      <c r="C13" s="93" t="s">
        <v>51</v>
      </c>
      <c r="D13" s="93" t="s">
        <v>52</v>
      </c>
      <c r="E13" s="94" t="s">
        <v>374</v>
      </c>
    </row>
    <row r="14" spans="1:6">
      <c r="A14" s="95">
        <v>9</v>
      </c>
      <c r="B14" s="93">
        <v>3</v>
      </c>
      <c r="C14" s="93" t="s">
        <v>51</v>
      </c>
      <c r="D14" s="93" t="s">
        <v>53</v>
      </c>
      <c r="E14" s="94" t="s">
        <v>375</v>
      </c>
    </row>
    <row r="15" spans="1:6">
      <c r="A15" s="95">
        <v>10</v>
      </c>
      <c r="B15" s="93">
        <v>3</v>
      </c>
      <c r="C15" s="93" t="s">
        <v>51</v>
      </c>
      <c r="D15" s="93" t="s">
        <v>54</v>
      </c>
      <c r="E15" s="94" t="s">
        <v>376</v>
      </c>
    </row>
    <row r="16" spans="1:6">
      <c r="A16" s="95">
        <v>11</v>
      </c>
      <c r="B16" s="93">
        <v>4</v>
      </c>
      <c r="C16" s="93" t="s">
        <v>55</v>
      </c>
      <c r="D16" s="93" t="s">
        <v>56</v>
      </c>
      <c r="E16" s="94" t="s">
        <v>377</v>
      </c>
    </row>
    <row r="17" spans="1:5">
      <c r="A17" s="95">
        <v>12</v>
      </c>
      <c r="B17" s="93">
        <v>4</v>
      </c>
      <c r="C17" s="93" t="s">
        <v>55</v>
      </c>
      <c r="D17" s="93" t="s">
        <v>58</v>
      </c>
      <c r="E17" s="94" t="s">
        <v>378</v>
      </c>
    </row>
    <row r="18" spans="1:5" ht="29.25">
      <c r="A18" s="95">
        <v>13</v>
      </c>
      <c r="B18" s="93">
        <v>4</v>
      </c>
      <c r="C18" s="93" t="s">
        <v>55</v>
      </c>
      <c r="D18" s="94" t="s">
        <v>60</v>
      </c>
      <c r="E18" s="94" t="s">
        <v>379</v>
      </c>
    </row>
    <row r="19" spans="1:5" ht="29.25">
      <c r="A19" s="95">
        <v>14</v>
      </c>
      <c r="B19" s="93">
        <v>5</v>
      </c>
      <c r="C19" s="93" t="s">
        <v>62</v>
      </c>
      <c r="D19" s="93" t="s">
        <v>63</v>
      </c>
      <c r="E19" s="94" t="s">
        <v>380</v>
      </c>
    </row>
    <row r="20" spans="1:5" ht="29.25">
      <c r="A20" s="95">
        <v>15</v>
      </c>
      <c r="B20" s="93">
        <v>5</v>
      </c>
      <c r="C20" s="93" t="s">
        <v>62</v>
      </c>
      <c r="D20" s="93" t="s">
        <v>64</v>
      </c>
      <c r="E20" s="94" t="s">
        <v>381</v>
      </c>
    </row>
    <row r="21" spans="1:5" ht="29.25">
      <c r="A21" s="95">
        <v>16</v>
      </c>
      <c r="B21" s="93">
        <v>5</v>
      </c>
      <c r="C21" s="93" t="s">
        <v>62</v>
      </c>
      <c r="D21" s="93" t="s">
        <v>46</v>
      </c>
      <c r="E21" s="94" t="s">
        <v>382</v>
      </c>
    </row>
    <row r="22" spans="1:5" ht="48.75" customHeight="1">
      <c r="A22" s="95">
        <v>17</v>
      </c>
      <c r="B22" s="93">
        <v>5</v>
      </c>
      <c r="C22" s="93" t="s">
        <v>62</v>
      </c>
      <c r="D22" s="93" t="s">
        <v>104</v>
      </c>
      <c r="E22" s="94" t="s">
        <v>383</v>
      </c>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5514A-221D-4AEA-A0CB-8CAFB37FCB38}">
  <dimension ref="A1:H31"/>
  <sheetViews>
    <sheetView topLeftCell="A40" workbookViewId="0">
      <selection activeCell="C3" sqref="C3"/>
    </sheetView>
  </sheetViews>
  <sheetFormatPr defaultRowHeight="15"/>
  <cols>
    <col min="1" max="1" width="10.42578125" customWidth="1"/>
    <col min="2" max="2" width="51.85546875" customWidth="1"/>
    <col min="3" max="3" width="70.28515625" customWidth="1"/>
    <col min="4" max="4" width="15.28515625" customWidth="1"/>
    <col min="5" max="5" width="16.140625" bestFit="1" customWidth="1"/>
    <col min="6" max="6" width="63" customWidth="1"/>
    <col min="7" max="7" width="17.7109375" customWidth="1"/>
    <col min="8" max="8" width="17.28515625" customWidth="1"/>
  </cols>
  <sheetData>
    <row r="1" spans="1:8" ht="21">
      <c r="A1" s="7" t="s">
        <v>384</v>
      </c>
    </row>
    <row r="2" spans="1:8" ht="15.75">
      <c r="A2" s="6" t="str">
        <f ca="1">_xlfn.CONCAT("Updated at: ",TEXT(TODAY(),"YYYY/MM/DD"))</f>
        <v>Updated at: 2026/02/02</v>
      </c>
    </row>
    <row r="3" spans="1:8" ht="15.75">
      <c r="A3" s="6" t="s">
        <v>2</v>
      </c>
    </row>
    <row r="4" spans="1:8">
      <c r="A4" t="s">
        <v>385</v>
      </c>
    </row>
    <row r="6" spans="1:8">
      <c r="A6" s="41" t="s">
        <v>66</v>
      </c>
      <c r="B6" s="41" t="s">
        <v>386</v>
      </c>
      <c r="C6" s="41" t="s">
        <v>387</v>
      </c>
      <c r="D6" s="41" t="s">
        <v>388</v>
      </c>
      <c r="E6" s="41" t="s">
        <v>389</v>
      </c>
      <c r="F6" s="41" t="s">
        <v>390</v>
      </c>
      <c r="G6" s="41" t="s">
        <v>391</v>
      </c>
      <c r="H6" s="41" t="s">
        <v>392</v>
      </c>
    </row>
    <row r="7" spans="1:8" ht="29.25">
      <c r="A7" s="49">
        <v>1</v>
      </c>
      <c r="B7" s="43" t="s">
        <v>393</v>
      </c>
      <c r="C7" s="42" t="s">
        <v>394</v>
      </c>
      <c r="D7" s="49" t="s">
        <v>395</v>
      </c>
      <c r="E7" s="101">
        <v>46051</v>
      </c>
      <c r="F7" s="43" t="s">
        <v>396</v>
      </c>
      <c r="G7" s="41" t="s">
        <v>395</v>
      </c>
      <c r="H7" s="101">
        <v>46051</v>
      </c>
    </row>
    <row r="8" spans="1:8" ht="29.25">
      <c r="A8" s="49">
        <v>2</v>
      </c>
      <c r="B8" s="43" t="s">
        <v>397</v>
      </c>
      <c r="C8" s="42" t="s">
        <v>398</v>
      </c>
      <c r="D8" s="49" t="s">
        <v>395</v>
      </c>
      <c r="E8" s="101">
        <v>46051</v>
      </c>
      <c r="F8" s="45" t="s">
        <v>399</v>
      </c>
      <c r="G8" s="41" t="s">
        <v>395</v>
      </c>
      <c r="H8" s="101">
        <v>46051</v>
      </c>
    </row>
    <row r="9" spans="1:8" ht="115.5">
      <c r="A9" s="49">
        <v>3</v>
      </c>
      <c r="B9" s="42" t="s">
        <v>400</v>
      </c>
      <c r="C9" s="44" t="s">
        <v>401</v>
      </c>
      <c r="D9" s="49" t="s">
        <v>395</v>
      </c>
      <c r="E9" s="101">
        <v>46051</v>
      </c>
      <c r="F9" s="58" t="s">
        <v>402</v>
      </c>
      <c r="G9" s="41" t="s">
        <v>403</v>
      </c>
      <c r="H9" s="101">
        <v>46051</v>
      </c>
    </row>
    <row r="10" spans="1:8" ht="69" customHeight="1">
      <c r="A10" s="49">
        <v>4</v>
      </c>
      <c r="B10" s="42" t="s">
        <v>404</v>
      </c>
      <c r="C10" s="44" t="s">
        <v>405</v>
      </c>
      <c r="D10" s="49" t="s">
        <v>395</v>
      </c>
      <c r="E10" s="101">
        <v>46051</v>
      </c>
      <c r="F10" s="1" t="s">
        <v>406</v>
      </c>
      <c r="G10" s="41" t="s">
        <v>395</v>
      </c>
      <c r="H10" s="101">
        <v>46051</v>
      </c>
    </row>
    <row r="11" spans="1:8" ht="141" customHeight="1">
      <c r="A11" s="49">
        <v>5</v>
      </c>
      <c r="B11" s="42" t="s">
        <v>407</v>
      </c>
      <c r="C11" s="52" t="s">
        <v>408</v>
      </c>
      <c r="D11" s="49" t="s">
        <v>395</v>
      </c>
      <c r="E11" s="101">
        <v>46051</v>
      </c>
      <c r="F11" s="58" t="s">
        <v>409</v>
      </c>
      <c r="G11" s="41" t="s">
        <v>403</v>
      </c>
      <c r="H11" s="101">
        <v>46051</v>
      </c>
    </row>
    <row r="12" spans="1:8" ht="127.5" customHeight="1">
      <c r="A12" s="49">
        <v>6</v>
      </c>
      <c r="B12" s="43" t="s">
        <v>410</v>
      </c>
      <c r="C12" s="53" t="s">
        <v>411</v>
      </c>
      <c r="D12" s="49" t="s">
        <v>395</v>
      </c>
      <c r="E12" s="101">
        <v>46051</v>
      </c>
      <c r="F12" s="61" t="s">
        <v>412</v>
      </c>
      <c r="G12" s="41" t="s">
        <v>403</v>
      </c>
      <c r="H12" s="101">
        <v>46051</v>
      </c>
    </row>
    <row r="13" spans="1:8" ht="206.25" customHeight="1">
      <c r="A13" s="49">
        <v>7</v>
      </c>
      <c r="B13" s="43" t="s">
        <v>413</v>
      </c>
      <c r="C13" s="54" t="s">
        <v>414</v>
      </c>
      <c r="D13" s="49" t="s">
        <v>395</v>
      </c>
      <c r="E13" s="101">
        <v>46051</v>
      </c>
      <c r="F13" s="58" t="s">
        <v>415</v>
      </c>
      <c r="G13" s="41" t="s">
        <v>403</v>
      </c>
      <c r="H13" s="101">
        <v>46051</v>
      </c>
    </row>
    <row r="14" spans="1:8" ht="206.25" customHeight="1">
      <c r="A14" s="49">
        <v>8</v>
      </c>
      <c r="B14" s="43" t="s">
        <v>416</v>
      </c>
      <c r="C14" s="54" t="s">
        <v>417</v>
      </c>
      <c r="D14" s="49" t="s">
        <v>395</v>
      </c>
      <c r="E14" s="101">
        <v>46051</v>
      </c>
      <c r="F14" s="61" t="s">
        <v>418</v>
      </c>
      <c r="G14" s="41" t="s">
        <v>403</v>
      </c>
      <c r="H14" s="101">
        <v>46051</v>
      </c>
    </row>
    <row r="15" spans="1:8" ht="29.25">
      <c r="A15" s="49">
        <v>9</v>
      </c>
      <c r="B15" s="50" t="s">
        <v>419</v>
      </c>
      <c r="C15" s="43"/>
      <c r="D15" s="49" t="s">
        <v>395</v>
      </c>
      <c r="E15" s="101">
        <v>46051</v>
      </c>
      <c r="F15" s="42"/>
      <c r="G15" s="41"/>
      <c r="H15" s="101"/>
    </row>
    <row r="16" spans="1:8">
      <c r="A16" s="49">
        <v>10</v>
      </c>
      <c r="B16" s="50" t="s">
        <v>420</v>
      </c>
      <c r="C16" s="43" t="s">
        <v>421</v>
      </c>
      <c r="D16" s="49" t="s">
        <v>395</v>
      </c>
      <c r="E16" s="101">
        <v>46051</v>
      </c>
      <c r="F16" s="42"/>
      <c r="G16" s="41"/>
      <c r="H16" s="101"/>
    </row>
    <row r="17" spans="1:8" ht="29.25">
      <c r="A17" s="49">
        <v>11</v>
      </c>
      <c r="B17" s="50" t="s">
        <v>422</v>
      </c>
      <c r="C17" s="43" t="s">
        <v>423</v>
      </c>
      <c r="D17" s="49" t="s">
        <v>395</v>
      </c>
      <c r="E17" s="101">
        <v>46051</v>
      </c>
      <c r="F17" s="42" t="s">
        <v>424</v>
      </c>
      <c r="G17" s="41" t="s">
        <v>395</v>
      </c>
      <c r="H17" s="101">
        <v>46051</v>
      </c>
    </row>
    <row r="18" spans="1:8" ht="72.75">
      <c r="A18" s="49">
        <v>12</v>
      </c>
      <c r="B18" s="31" t="s">
        <v>425</v>
      </c>
      <c r="C18" s="56" t="s">
        <v>426</v>
      </c>
      <c r="D18" s="49" t="s">
        <v>395</v>
      </c>
      <c r="E18" s="101">
        <v>46051</v>
      </c>
      <c r="F18" s="58" t="s">
        <v>427</v>
      </c>
      <c r="G18" s="41" t="s">
        <v>403</v>
      </c>
      <c r="H18" s="101">
        <v>46051</v>
      </c>
    </row>
    <row r="19" spans="1:8" ht="174">
      <c r="A19" s="49">
        <v>13</v>
      </c>
      <c r="B19" s="47" t="s">
        <v>428</v>
      </c>
      <c r="C19" s="56" t="s">
        <v>429</v>
      </c>
      <c r="D19" s="49" t="s">
        <v>395</v>
      </c>
      <c r="E19" s="101">
        <v>46051</v>
      </c>
      <c r="F19" s="58" t="s">
        <v>427</v>
      </c>
      <c r="G19" s="41" t="s">
        <v>403</v>
      </c>
      <c r="H19" s="101">
        <v>46051</v>
      </c>
    </row>
    <row r="20" spans="1:8" ht="72.75">
      <c r="A20" s="49">
        <v>14</v>
      </c>
      <c r="B20" s="51" t="s">
        <v>430</v>
      </c>
      <c r="C20" s="56" t="s">
        <v>431</v>
      </c>
      <c r="D20" s="49" t="s">
        <v>395</v>
      </c>
      <c r="E20" s="101">
        <v>46051</v>
      </c>
      <c r="F20" s="58" t="s">
        <v>427</v>
      </c>
      <c r="G20" s="41" t="s">
        <v>403</v>
      </c>
      <c r="H20" s="101">
        <v>46051</v>
      </c>
    </row>
    <row r="21" spans="1:8" ht="57.75">
      <c r="A21" s="49">
        <v>15</v>
      </c>
      <c r="B21" s="31" t="s">
        <v>432</v>
      </c>
      <c r="C21" s="56" t="s">
        <v>433</v>
      </c>
      <c r="D21" s="49" t="s">
        <v>395</v>
      </c>
      <c r="E21" s="101">
        <v>46051</v>
      </c>
      <c r="F21" s="58" t="s">
        <v>427</v>
      </c>
      <c r="G21" s="41" t="s">
        <v>403</v>
      </c>
      <c r="H21" s="101">
        <v>46051</v>
      </c>
    </row>
    <row r="22" spans="1:8" ht="72.75">
      <c r="A22" s="49">
        <v>16</v>
      </c>
      <c r="B22" s="37" t="s">
        <v>434</v>
      </c>
      <c r="C22" s="56" t="s">
        <v>435</v>
      </c>
      <c r="D22" s="49" t="s">
        <v>395</v>
      </c>
      <c r="E22" s="101">
        <v>46051</v>
      </c>
      <c r="F22" s="58" t="s">
        <v>427</v>
      </c>
      <c r="G22" s="41" t="s">
        <v>403</v>
      </c>
      <c r="H22" s="101">
        <v>46051</v>
      </c>
    </row>
    <row r="23" spans="1:8" ht="29.25">
      <c r="A23" s="49">
        <v>17</v>
      </c>
      <c r="B23" s="37" t="s">
        <v>436</v>
      </c>
      <c r="C23" s="48" t="s">
        <v>437</v>
      </c>
      <c r="D23" s="49" t="s">
        <v>395</v>
      </c>
      <c r="E23" s="101">
        <v>46051</v>
      </c>
      <c r="F23" s="58" t="s">
        <v>427</v>
      </c>
      <c r="G23" s="41" t="s">
        <v>403</v>
      </c>
      <c r="H23" s="101">
        <v>46051</v>
      </c>
    </row>
    <row r="24" spans="1:8" ht="29.25">
      <c r="A24" s="49">
        <v>18</v>
      </c>
      <c r="B24" s="37" t="s">
        <v>438</v>
      </c>
      <c r="C24" s="48" t="s">
        <v>439</v>
      </c>
      <c r="D24" s="49" t="s">
        <v>395</v>
      </c>
      <c r="E24" s="101">
        <v>46051</v>
      </c>
      <c r="F24" s="58" t="s">
        <v>427</v>
      </c>
      <c r="G24" s="41" t="s">
        <v>403</v>
      </c>
      <c r="H24" s="101">
        <v>46051</v>
      </c>
    </row>
    <row r="25" spans="1:8" ht="43.5">
      <c r="A25" s="49">
        <v>19</v>
      </c>
      <c r="B25" s="51" t="s">
        <v>440</v>
      </c>
      <c r="C25" s="48" t="s">
        <v>441</v>
      </c>
      <c r="D25" s="49" t="s">
        <v>395</v>
      </c>
      <c r="E25" s="101">
        <v>46051</v>
      </c>
      <c r="F25" s="58" t="s">
        <v>427</v>
      </c>
      <c r="G25" s="41" t="s">
        <v>403</v>
      </c>
      <c r="H25" s="101">
        <v>46051</v>
      </c>
    </row>
    <row r="26" spans="1:8" ht="72.75">
      <c r="A26" s="49">
        <v>20</v>
      </c>
      <c r="B26" s="37" t="s">
        <v>430</v>
      </c>
      <c r="C26" s="57" t="s">
        <v>431</v>
      </c>
      <c r="D26" s="49" t="s">
        <v>395</v>
      </c>
      <c r="E26" s="101">
        <v>46051</v>
      </c>
      <c r="F26" s="58" t="s">
        <v>427</v>
      </c>
      <c r="G26" s="41" t="s">
        <v>403</v>
      </c>
      <c r="H26" s="101">
        <v>46051</v>
      </c>
    </row>
    <row r="27" spans="1:8" ht="72.75">
      <c r="A27" s="49">
        <v>21</v>
      </c>
      <c r="B27" s="51" t="s">
        <v>442</v>
      </c>
      <c r="C27" s="57" t="s">
        <v>443</v>
      </c>
      <c r="D27" s="49" t="s">
        <v>395</v>
      </c>
      <c r="E27" s="101">
        <v>46051</v>
      </c>
      <c r="F27" s="58" t="s">
        <v>444</v>
      </c>
      <c r="G27" s="41" t="s">
        <v>403</v>
      </c>
      <c r="H27" s="101">
        <v>46051</v>
      </c>
    </row>
    <row r="28" spans="1:8">
      <c r="A28" s="49">
        <v>22</v>
      </c>
      <c r="B28" s="37" t="s">
        <v>445</v>
      </c>
      <c r="C28" s="42"/>
      <c r="D28" s="49"/>
      <c r="E28" s="101"/>
      <c r="F28" s="42"/>
      <c r="G28" s="41"/>
      <c r="H28" s="101"/>
    </row>
    <row r="29" spans="1:8" ht="43.5">
      <c r="A29" s="49">
        <v>23</v>
      </c>
      <c r="B29" s="55" t="s">
        <v>337</v>
      </c>
      <c r="C29" s="31" t="s">
        <v>446</v>
      </c>
      <c r="D29" s="49" t="s">
        <v>395</v>
      </c>
      <c r="E29" s="101">
        <v>46051</v>
      </c>
      <c r="F29" s="42" t="s">
        <v>447</v>
      </c>
      <c r="G29" s="41" t="s">
        <v>395</v>
      </c>
      <c r="H29" s="101">
        <v>46051</v>
      </c>
    </row>
    <row r="30" spans="1:8" ht="138" customHeight="1">
      <c r="A30" s="49">
        <v>24</v>
      </c>
      <c r="B30" s="43" t="s">
        <v>448</v>
      </c>
      <c r="C30" s="53" t="s">
        <v>449</v>
      </c>
      <c r="D30" s="49" t="s">
        <v>395</v>
      </c>
      <c r="E30" s="101">
        <v>46051</v>
      </c>
      <c r="F30" s="58" t="s">
        <v>409</v>
      </c>
      <c r="G30" s="41" t="s">
        <v>403</v>
      </c>
      <c r="H30" s="101">
        <v>46051</v>
      </c>
    </row>
    <row r="31" spans="1:8" ht="405">
      <c r="A31" s="49">
        <v>25</v>
      </c>
      <c r="B31" s="43" t="s">
        <v>450</v>
      </c>
      <c r="C31" s="43" t="s">
        <v>451</v>
      </c>
      <c r="D31" s="49" t="s">
        <v>395</v>
      </c>
      <c r="E31" s="101">
        <v>46051</v>
      </c>
      <c r="F31" s="43" t="s">
        <v>452</v>
      </c>
      <c r="G31" s="41" t="s">
        <v>395</v>
      </c>
      <c r="H31" s="101">
        <v>46051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4BA1A-D8F4-4FC1-84EF-A644CEF0F237}">
  <dimension ref="A1:AE302"/>
  <sheetViews>
    <sheetView workbookViewId="0">
      <selection activeCell="E80" sqref="E80"/>
    </sheetView>
  </sheetViews>
  <sheetFormatPr defaultRowHeight="14.45"/>
  <cols>
    <col min="1" max="1" width="26.28515625" bestFit="1" customWidth="1"/>
    <col min="2" max="2" width="20.28515625" style="14" bestFit="1" customWidth="1"/>
    <col min="3" max="3" width="94.42578125" customWidth="1"/>
    <col min="4" max="4" width="13" bestFit="1" customWidth="1"/>
    <col min="5" max="5" width="25" bestFit="1" customWidth="1"/>
    <col min="6" max="6" width="25.140625" bestFit="1" customWidth="1"/>
    <col min="7" max="7" width="99.28515625" customWidth="1"/>
    <col min="8" max="8" width="28" bestFit="1" customWidth="1"/>
    <col min="9" max="9" width="13.42578125" bestFit="1" customWidth="1"/>
    <col min="10" max="10" width="9.85546875" bestFit="1" customWidth="1"/>
    <col min="11" max="11" width="22" bestFit="1" customWidth="1"/>
    <col min="12" max="12" width="243" bestFit="1" customWidth="1"/>
    <col min="13" max="13" width="20" bestFit="1" customWidth="1"/>
    <col min="14" max="14" width="22" bestFit="1" customWidth="1"/>
    <col min="15" max="15" width="37.42578125" bestFit="1" customWidth="1"/>
    <col min="16" max="16" width="16.42578125" bestFit="1" customWidth="1"/>
    <col min="17" max="17" width="13.140625" bestFit="1" customWidth="1"/>
    <col min="18" max="18" width="5.5703125" bestFit="1" customWidth="1"/>
    <col min="19" max="20" width="13.140625" bestFit="1" customWidth="1"/>
  </cols>
  <sheetData>
    <row r="1" spans="1:31" ht="38.25" customHeight="1">
      <c r="A1" s="12" t="s">
        <v>453</v>
      </c>
      <c r="B1" s="13" t="s">
        <v>454</v>
      </c>
      <c r="C1" s="13" t="s">
        <v>455</v>
      </c>
      <c r="D1" s="13" t="s">
        <v>80</v>
      </c>
      <c r="E1" s="13" t="s">
        <v>456</v>
      </c>
      <c r="F1" s="13" t="s">
        <v>457</v>
      </c>
      <c r="G1" s="13" t="s">
        <v>458</v>
      </c>
      <c r="H1" s="13" t="s">
        <v>459</v>
      </c>
      <c r="I1" s="13" t="s">
        <v>460</v>
      </c>
      <c r="J1" s="13" t="s">
        <v>461</v>
      </c>
      <c r="K1" s="13" t="s">
        <v>462</v>
      </c>
      <c r="L1" s="13" t="s">
        <v>463</v>
      </c>
      <c r="M1" s="13" t="s">
        <v>464</v>
      </c>
      <c r="N1" s="13" t="s">
        <v>465</v>
      </c>
      <c r="O1" s="13" t="s">
        <v>466</v>
      </c>
      <c r="P1" s="13" t="s">
        <v>467</v>
      </c>
      <c r="Q1" s="2"/>
    </row>
    <row r="2" spans="1:31" ht="15" customHeight="1">
      <c r="A2" s="15" t="s">
        <v>468</v>
      </c>
      <c r="B2" s="16" t="s">
        <v>469</v>
      </c>
      <c r="C2" s="15" t="s">
        <v>470</v>
      </c>
      <c r="D2" s="15" t="s">
        <v>471</v>
      </c>
      <c r="E2" s="15" t="s">
        <v>46</v>
      </c>
      <c r="F2" s="15" t="s">
        <v>472</v>
      </c>
      <c r="G2" s="15" t="s">
        <v>473</v>
      </c>
      <c r="H2" s="15"/>
      <c r="I2" s="15" t="s">
        <v>474</v>
      </c>
      <c r="J2" s="15"/>
      <c r="K2" s="17">
        <v>46022.333333333336</v>
      </c>
      <c r="L2" s="15" t="s">
        <v>475</v>
      </c>
      <c r="M2" s="15" t="s">
        <v>476</v>
      </c>
      <c r="N2" s="15"/>
      <c r="O2" s="15" t="s">
        <v>477</v>
      </c>
      <c r="P2" s="15" t="s">
        <v>478</v>
      </c>
      <c r="Q2" s="18"/>
      <c r="R2" s="19"/>
      <c r="S2" s="19"/>
      <c r="T2" s="19"/>
      <c r="U2" s="19"/>
      <c r="V2" s="19"/>
      <c r="W2" s="19"/>
      <c r="X2" s="19"/>
      <c r="Y2" s="19"/>
      <c r="Z2" s="19"/>
      <c r="AA2" s="19"/>
      <c r="AB2" s="19"/>
      <c r="AC2" s="19"/>
      <c r="AD2" s="19"/>
      <c r="AE2" s="19"/>
    </row>
    <row r="3" spans="1:31" ht="16.899999999999999">
      <c r="A3" s="20" t="s">
        <v>468</v>
      </c>
      <c r="B3" s="21" t="s">
        <v>479</v>
      </c>
      <c r="C3" s="20" t="s">
        <v>480</v>
      </c>
      <c r="D3" s="20" t="s">
        <v>471</v>
      </c>
      <c r="E3" s="20" t="s">
        <v>46</v>
      </c>
      <c r="F3" s="20" t="s">
        <v>472</v>
      </c>
      <c r="G3" s="20" t="s">
        <v>481</v>
      </c>
      <c r="H3" s="20">
        <v>0.5</v>
      </c>
      <c r="I3" s="20" t="s">
        <v>474</v>
      </c>
      <c r="J3" s="20"/>
      <c r="K3" s="22">
        <v>46022.333333333336</v>
      </c>
      <c r="L3" s="20" t="s">
        <v>475</v>
      </c>
      <c r="M3" s="20" t="s">
        <v>476</v>
      </c>
      <c r="N3" s="20"/>
      <c r="O3" s="20" t="s">
        <v>477</v>
      </c>
      <c r="P3" s="20" t="s">
        <v>478</v>
      </c>
    </row>
    <row r="4" spans="1:31" ht="16.899999999999999">
      <c r="A4" s="23" t="s">
        <v>482</v>
      </c>
      <c r="B4" s="24" t="s">
        <v>483</v>
      </c>
      <c r="C4" s="23" t="s">
        <v>484</v>
      </c>
      <c r="D4" s="23" t="s">
        <v>471</v>
      </c>
      <c r="E4" s="23" t="s">
        <v>63</v>
      </c>
      <c r="F4" s="23" t="s">
        <v>472</v>
      </c>
      <c r="G4" s="23" t="s">
        <v>485</v>
      </c>
      <c r="H4" s="23"/>
      <c r="I4" s="23" t="s">
        <v>474</v>
      </c>
      <c r="J4" s="23"/>
      <c r="K4" s="25">
        <v>45975.333333333336</v>
      </c>
      <c r="L4" s="23" t="s">
        <v>486</v>
      </c>
      <c r="M4" s="23" t="s">
        <v>487</v>
      </c>
      <c r="N4" s="23"/>
      <c r="O4" s="23" t="s">
        <v>488</v>
      </c>
      <c r="P4" s="23"/>
    </row>
    <row r="5" spans="1:31" ht="16.899999999999999">
      <c r="A5" s="20" t="s">
        <v>482</v>
      </c>
      <c r="B5" s="21" t="s">
        <v>489</v>
      </c>
      <c r="C5" s="20" t="s">
        <v>490</v>
      </c>
      <c r="D5" s="20" t="s">
        <v>471</v>
      </c>
      <c r="E5" s="20" t="s">
        <v>63</v>
      </c>
      <c r="F5" s="20" t="s">
        <v>472</v>
      </c>
      <c r="G5" s="20" t="s">
        <v>491</v>
      </c>
      <c r="H5" s="20"/>
      <c r="I5" s="20" t="s">
        <v>474</v>
      </c>
      <c r="J5" s="20"/>
      <c r="K5" s="22">
        <v>46010.333333333336</v>
      </c>
      <c r="L5" s="20" t="s">
        <v>475</v>
      </c>
      <c r="M5" s="20" t="s">
        <v>476</v>
      </c>
      <c r="N5" s="20"/>
      <c r="O5" s="20" t="s">
        <v>488</v>
      </c>
      <c r="P5" s="20"/>
    </row>
    <row r="6" spans="1:31" ht="16.899999999999999">
      <c r="A6" s="23" t="s">
        <v>482</v>
      </c>
      <c r="B6" s="24" t="s">
        <v>492</v>
      </c>
      <c r="C6" s="23" t="s">
        <v>493</v>
      </c>
      <c r="D6" s="23" t="s">
        <v>471</v>
      </c>
      <c r="E6" s="23" t="s">
        <v>63</v>
      </c>
      <c r="F6" s="23" t="s">
        <v>472</v>
      </c>
      <c r="G6" s="23" t="s">
        <v>494</v>
      </c>
      <c r="H6" s="23"/>
      <c r="I6" s="23" t="s">
        <v>474</v>
      </c>
      <c r="J6" s="23"/>
      <c r="K6" s="25">
        <v>45968.333333333336</v>
      </c>
      <c r="L6" s="23" t="s">
        <v>486</v>
      </c>
      <c r="M6" s="23" t="s">
        <v>487</v>
      </c>
      <c r="N6" s="23"/>
      <c r="O6" s="23" t="s">
        <v>488</v>
      </c>
      <c r="P6" s="23"/>
    </row>
    <row r="7" spans="1:31" ht="16.899999999999999">
      <c r="A7" s="26" t="s">
        <v>495</v>
      </c>
      <c r="B7" s="27" t="s">
        <v>496</v>
      </c>
      <c r="C7" s="26" t="s">
        <v>497</v>
      </c>
      <c r="D7" s="26" t="s">
        <v>498</v>
      </c>
      <c r="E7" s="26" t="s">
        <v>63</v>
      </c>
      <c r="F7" s="26" t="s">
        <v>472</v>
      </c>
      <c r="G7" s="26" t="s">
        <v>499</v>
      </c>
      <c r="H7" s="26">
        <v>1</v>
      </c>
      <c r="I7" s="26" t="s">
        <v>500</v>
      </c>
      <c r="J7" s="26" t="s">
        <v>501</v>
      </c>
      <c r="K7" s="28">
        <v>45947.291666666664</v>
      </c>
      <c r="L7" s="26" t="s">
        <v>502</v>
      </c>
      <c r="M7" s="26" t="s">
        <v>487</v>
      </c>
      <c r="N7" s="26"/>
      <c r="O7" s="26" t="s">
        <v>503</v>
      </c>
      <c r="P7" s="26" t="s">
        <v>478</v>
      </c>
    </row>
    <row r="8" spans="1:31" ht="16.899999999999999">
      <c r="A8" s="26" t="s">
        <v>495</v>
      </c>
      <c r="B8" s="27" t="s">
        <v>504</v>
      </c>
      <c r="C8" s="26" t="s">
        <v>505</v>
      </c>
      <c r="D8" s="26" t="s">
        <v>471</v>
      </c>
      <c r="E8" s="26" t="s">
        <v>46</v>
      </c>
      <c r="F8" s="26" t="s">
        <v>472</v>
      </c>
      <c r="G8" s="26" t="s">
        <v>506</v>
      </c>
      <c r="H8" s="26">
        <v>0.5</v>
      </c>
      <c r="I8" s="26" t="s">
        <v>500</v>
      </c>
      <c r="J8" s="26" t="s">
        <v>507</v>
      </c>
      <c r="K8" s="28">
        <v>45821.291666666664</v>
      </c>
      <c r="L8" s="26" t="s">
        <v>508</v>
      </c>
      <c r="M8" s="26" t="s">
        <v>487</v>
      </c>
      <c r="N8" s="26"/>
      <c r="O8" s="26" t="s">
        <v>503</v>
      </c>
      <c r="P8" s="26" t="s">
        <v>478</v>
      </c>
    </row>
    <row r="9" spans="1:31" ht="16.899999999999999">
      <c r="A9" s="26" t="s">
        <v>495</v>
      </c>
      <c r="B9" s="27" t="s">
        <v>509</v>
      </c>
      <c r="C9" s="26" t="s">
        <v>510</v>
      </c>
      <c r="D9" s="26" t="s">
        <v>471</v>
      </c>
      <c r="E9" s="26" t="s">
        <v>64</v>
      </c>
      <c r="F9" s="26" t="s">
        <v>511</v>
      </c>
      <c r="G9" s="26" t="s">
        <v>512</v>
      </c>
      <c r="H9" s="26">
        <v>0.5</v>
      </c>
      <c r="I9" s="26" t="s">
        <v>500</v>
      </c>
      <c r="J9" s="26" t="s">
        <v>507</v>
      </c>
      <c r="K9" s="28">
        <v>45821.291666666664</v>
      </c>
      <c r="L9" s="26" t="s">
        <v>513</v>
      </c>
      <c r="M9" s="26" t="s">
        <v>487</v>
      </c>
      <c r="N9" s="26"/>
      <c r="O9" s="26" t="s">
        <v>503</v>
      </c>
      <c r="P9" s="26" t="s">
        <v>478</v>
      </c>
    </row>
    <row r="10" spans="1:31" ht="16.899999999999999">
      <c r="A10" s="26" t="s">
        <v>495</v>
      </c>
      <c r="B10" s="27" t="s">
        <v>514</v>
      </c>
      <c r="C10" s="26" t="s">
        <v>515</v>
      </c>
      <c r="D10" s="26" t="s">
        <v>471</v>
      </c>
      <c r="E10" s="26" t="s">
        <v>64</v>
      </c>
      <c r="F10" s="26" t="s">
        <v>511</v>
      </c>
      <c r="G10" s="26" t="s">
        <v>516</v>
      </c>
      <c r="H10" s="26">
        <v>0.5</v>
      </c>
      <c r="I10" s="26" t="s">
        <v>500</v>
      </c>
      <c r="J10" s="26" t="s">
        <v>507</v>
      </c>
      <c r="K10" s="28">
        <v>45821.291666666664</v>
      </c>
      <c r="L10" s="26" t="s">
        <v>517</v>
      </c>
      <c r="M10" s="26" t="s">
        <v>487</v>
      </c>
      <c r="N10" s="26"/>
      <c r="O10" s="26" t="s">
        <v>503</v>
      </c>
      <c r="P10" s="26" t="s">
        <v>478</v>
      </c>
    </row>
    <row r="11" spans="1:31" ht="16.899999999999999">
      <c r="A11" s="26" t="s">
        <v>495</v>
      </c>
      <c r="B11" s="27" t="s">
        <v>518</v>
      </c>
      <c r="C11" s="26" t="s">
        <v>519</v>
      </c>
      <c r="D11" s="26" t="s">
        <v>471</v>
      </c>
      <c r="E11" s="26" t="s">
        <v>64</v>
      </c>
      <c r="F11" s="26" t="s">
        <v>511</v>
      </c>
      <c r="G11" s="26" t="s">
        <v>520</v>
      </c>
      <c r="H11" s="26">
        <v>0.5</v>
      </c>
      <c r="I11" s="26" t="s">
        <v>500</v>
      </c>
      <c r="J11" s="26" t="s">
        <v>501</v>
      </c>
      <c r="K11" s="28">
        <v>45898.291666666664</v>
      </c>
      <c r="L11" s="26" t="s">
        <v>521</v>
      </c>
      <c r="M11" s="26" t="s">
        <v>487</v>
      </c>
      <c r="N11" s="26"/>
      <c r="O11" s="26" t="s">
        <v>503</v>
      </c>
      <c r="P11" s="26" t="s">
        <v>478</v>
      </c>
    </row>
    <row r="12" spans="1:31" ht="16.899999999999999">
      <c r="A12" s="26" t="s">
        <v>495</v>
      </c>
      <c r="B12" s="27" t="s">
        <v>522</v>
      </c>
      <c r="C12" s="26" t="s">
        <v>523</v>
      </c>
      <c r="D12" s="26" t="s">
        <v>524</v>
      </c>
      <c r="E12" s="26" t="s">
        <v>46</v>
      </c>
      <c r="F12" s="26" t="s">
        <v>472</v>
      </c>
      <c r="G12" s="26" t="s">
        <v>525</v>
      </c>
      <c r="H12" s="26">
        <v>0.5</v>
      </c>
      <c r="I12" s="26" t="s">
        <v>500</v>
      </c>
      <c r="J12" s="26" t="s">
        <v>507</v>
      </c>
      <c r="K12" s="28">
        <v>45877.791666666664</v>
      </c>
      <c r="L12" s="26" t="s">
        <v>526</v>
      </c>
      <c r="M12" s="26" t="s">
        <v>487</v>
      </c>
      <c r="N12" s="26"/>
      <c r="O12" s="26" t="s">
        <v>488</v>
      </c>
      <c r="P12" s="26" t="s">
        <v>46</v>
      </c>
    </row>
    <row r="13" spans="1:31" ht="16.899999999999999">
      <c r="A13" s="26" t="s">
        <v>495</v>
      </c>
      <c r="B13" s="27" t="s">
        <v>527</v>
      </c>
      <c r="C13" s="26" t="s">
        <v>528</v>
      </c>
      <c r="D13" s="26" t="s">
        <v>471</v>
      </c>
      <c r="E13" s="26" t="s">
        <v>64</v>
      </c>
      <c r="F13" s="26" t="s">
        <v>511</v>
      </c>
      <c r="G13" s="26" t="s">
        <v>529</v>
      </c>
      <c r="H13" s="26">
        <v>0.5</v>
      </c>
      <c r="I13" s="26" t="s">
        <v>474</v>
      </c>
      <c r="J13" s="26"/>
      <c r="K13" s="28">
        <v>45541.291666666664</v>
      </c>
      <c r="L13" s="26" t="s">
        <v>530</v>
      </c>
      <c r="M13" s="26" t="s">
        <v>487</v>
      </c>
      <c r="N13" s="26"/>
      <c r="O13" s="26" t="s">
        <v>503</v>
      </c>
      <c r="P13" s="26" t="s">
        <v>478</v>
      </c>
    </row>
    <row r="14" spans="1:31" ht="16.899999999999999">
      <c r="A14" s="26" t="s">
        <v>495</v>
      </c>
      <c r="B14" s="27" t="s">
        <v>531</v>
      </c>
      <c r="C14" s="26" t="s">
        <v>532</v>
      </c>
      <c r="D14" s="26" t="s">
        <v>471</v>
      </c>
      <c r="E14" s="26" t="s">
        <v>64</v>
      </c>
      <c r="F14" s="26" t="s">
        <v>511</v>
      </c>
      <c r="G14" s="26" t="s">
        <v>533</v>
      </c>
      <c r="H14" s="26">
        <v>0.5</v>
      </c>
      <c r="I14" s="26" t="s">
        <v>474</v>
      </c>
      <c r="J14" s="26"/>
      <c r="K14" s="28">
        <v>45618.333333333336</v>
      </c>
      <c r="L14" s="26" t="s">
        <v>534</v>
      </c>
      <c r="M14" s="26" t="s">
        <v>487</v>
      </c>
      <c r="N14" s="26"/>
      <c r="O14" s="26" t="s">
        <v>503</v>
      </c>
      <c r="P14" s="26" t="s">
        <v>535</v>
      </c>
    </row>
    <row r="15" spans="1:31" ht="16.899999999999999">
      <c r="A15" s="26" t="s">
        <v>495</v>
      </c>
      <c r="B15" s="27" t="s">
        <v>536</v>
      </c>
      <c r="C15" s="26" t="s">
        <v>537</v>
      </c>
      <c r="D15" s="26" t="s">
        <v>524</v>
      </c>
      <c r="E15" s="26" t="s">
        <v>46</v>
      </c>
      <c r="F15" s="26" t="s">
        <v>472</v>
      </c>
      <c r="G15" s="26" t="s">
        <v>538</v>
      </c>
      <c r="H15" s="26">
        <v>0.5</v>
      </c>
      <c r="I15" s="26" t="s">
        <v>474</v>
      </c>
      <c r="J15" s="26"/>
      <c r="K15" s="28">
        <v>45635.333333333336</v>
      </c>
      <c r="L15" s="26" t="s">
        <v>530</v>
      </c>
      <c r="M15" s="26" t="s">
        <v>487</v>
      </c>
      <c r="N15" s="26"/>
      <c r="O15" s="26" t="s">
        <v>503</v>
      </c>
      <c r="P15" s="26" t="s">
        <v>46</v>
      </c>
    </row>
    <row r="16" spans="1:31" ht="16.899999999999999">
      <c r="A16" s="26" t="s">
        <v>495</v>
      </c>
      <c r="B16" s="27" t="s">
        <v>539</v>
      </c>
      <c r="C16" s="26" t="s">
        <v>540</v>
      </c>
      <c r="D16" s="26" t="s">
        <v>524</v>
      </c>
      <c r="E16" s="26" t="s">
        <v>46</v>
      </c>
      <c r="F16" s="26" t="s">
        <v>472</v>
      </c>
      <c r="G16" s="26" t="s">
        <v>541</v>
      </c>
      <c r="H16" s="26">
        <v>0.5</v>
      </c>
      <c r="I16" s="26" t="s">
        <v>500</v>
      </c>
      <c r="J16" s="26" t="s">
        <v>501</v>
      </c>
      <c r="K16" s="28">
        <v>45674.333333333336</v>
      </c>
      <c r="L16" s="26" t="s">
        <v>542</v>
      </c>
      <c r="M16" s="26" t="s">
        <v>487</v>
      </c>
      <c r="N16" s="26"/>
      <c r="O16" s="26" t="s">
        <v>503</v>
      </c>
      <c r="P16" s="26" t="s">
        <v>478</v>
      </c>
    </row>
    <row r="17" spans="1:16" ht="16.899999999999999">
      <c r="A17" s="26" t="s">
        <v>495</v>
      </c>
      <c r="B17" s="27" t="s">
        <v>543</v>
      </c>
      <c r="C17" s="26" t="s">
        <v>544</v>
      </c>
      <c r="D17" s="26" t="s">
        <v>471</v>
      </c>
      <c r="E17" s="26" t="s">
        <v>46</v>
      </c>
      <c r="F17" s="26" t="s">
        <v>472</v>
      </c>
      <c r="G17" s="26" t="s">
        <v>545</v>
      </c>
      <c r="H17" s="26">
        <v>0.5</v>
      </c>
      <c r="I17" s="26" t="s">
        <v>500</v>
      </c>
      <c r="J17" s="26" t="s">
        <v>501</v>
      </c>
      <c r="K17" s="28">
        <v>45947.291666666664</v>
      </c>
      <c r="L17" s="26" t="s">
        <v>502</v>
      </c>
      <c r="M17" s="26" t="s">
        <v>487</v>
      </c>
      <c r="N17" s="26"/>
      <c r="O17" s="26" t="s">
        <v>503</v>
      </c>
      <c r="P17" s="26" t="s">
        <v>546</v>
      </c>
    </row>
    <row r="18" spans="1:16" ht="16.899999999999999">
      <c r="A18" s="26" t="s">
        <v>495</v>
      </c>
      <c r="B18" s="27" t="s">
        <v>547</v>
      </c>
      <c r="C18" s="26" t="s">
        <v>548</v>
      </c>
      <c r="D18" s="26" t="s">
        <v>471</v>
      </c>
      <c r="E18" s="26" t="s">
        <v>63</v>
      </c>
      <c r="F18" s="26" t="s">
        <v>472</v>
      </c>
      <c r="G18" s="26" t="s">
        <v>549</v>
      </c>
      <c r="H18" s="26">
        <v>0.5</v>
      </c>
      <c r="I18" s="26" t="s">
        <v>500</v>
      </c>
      <c r="J18" s="26" t="s">
        <v>501</v>
      </c>
      <c r="K18" s="28">
        <v>45996.333333333336</v>
      </c>
      <c r="L18" s="26" t="s">
        <v>550</v>
      </c>
      <c r="M18" s="26" t="s">
        <v>476</v>
      </c>
      <c r="N18" s="26"/>
      <c r="O18" s="26" t="s">
        <v>503</v>
      </c>
      <c r="P18" s="26" t="s">
        <v>478</v>
      </c>
    </row>
    <row r="19" spans="1:16" ht="16.899999999999999">
      <c r="A19" s="26" t="s">
        <v>551</v>
      </c>
      <c r="B19" s="27" t="s">
        <v>552</v>
      </c>
      <c r="C19" s="26" t="s">
        <v>553</v>
      </c>
      <c r="D19" s="26" t="s">
        <v>498</v>
      </c>
      <c r="E19" s="26" t="s">
        <v>46</v>
      </c>
      <c r="F19" s="26" t="s">
        <v>472</v>
      </c>
      <c r="G19" s="26" t="s">
        <v>554</v>
      </c>
      <c r="H19" s="26">
        <v>1</v>
      </c>
      <c r="I19" s="26" t="s">
        <v>500</v>
      </c>
      <c r="J19" s="26" t="s">
        <v>507</v>
      </c>
      <c r="K19" s="28">
        <v>45996.333333333336</v>
      </c>
      <c r="L19" s="26" t="s">
        <v>555</v>
      </c>
      <c r="M19" s="26" t="s">
        <v>476</v>
      </c>
      <c r="N19" s="26"/>
      <c r="O19" s="26" t="s">
        <v>503</v>
      </c>
      <c r="P19" s="26" t="s">
        <v>478</v>
      </c>
    </row>
    <row r="20" spans="1:16" ht="16.899999999999999">
      <c r="A20" s="26" t="s">
        <v>551</v>
      </c>
      <c r="B20" s="27" t="s">
        <v>556</v>
      </c>
      <c r="C20" s="26" t="s">
        <v>557</v>
      </c>
      <c r="D20" s="26" t="s">
        <v>471</v>
      </c>
      <c r="E20" s="26" t="s">
        <v>64</v>
      </c>
      <c r="F20" s="26" t="s">
        <v>511</v>
      </c>
      <c r="G20" s="26" t="s">
        <v>558</v>
      </c>
      <c r="H20" s="26">
        <v>0.5</v>
      </c>
      <c r="I20" s="26" t="s">
        <v>500</v>
      </c>
      <c r="J20" s="26" t="s">
        <v>501</v>
      </c>
      <c r="K20" s="28">
        <v>45618.333333333336</v>
      </c>
      <c r="L20" s="26" t="s">
        <v>559</v>
      </c>
      <c r="M20" s="26" t="s">
        <v>487</v>
      </c>
      <c r="N20" s="26"/>
      <c r="O20" s="26" t="s">
        <v>503</v>
      </c>
      <c r="P20" s="26" t="s">
        <v>478</v>
      </c>
    </row>
    <row r="21" spans="1:16" ht="16.899999999999999">
      <c r="A21" s="26" t="s">
        <v>551</v>
      </c>
      <c r="B21" s="27" t="s">
        <v>560</v>
      </c>
      <c r="C21" s="26" t="s">
        <v>561</v>
      </c>
      <c r="D21" s="26" t="s">
        <v>471</v>
      </c>
      <c r="E21" s="26" t="s">
        <v>64</v>
      </c>
      <c r="F21" s="26" t="s">
        <v>511</v>
      </c>
      <c r="G21" s="26" t="s">
        <v>562</v>
      </c>
      <c r="H21" s="26">
        <v>0.5</v>
      </c>
      <c r="I21" s="26" t="s">
        <v>474</v>
      </c>
      <c r="J21" s="26"/>
      <c r="K21" s="28">
        <v>45327.333333333336</v>
      </c>
      <c r="L21" s="26" t="s">
        <v>530</v>
      </c>
      <c r="M21" s="26" t="s">
        <v>487</v>
      </c>
      <c r="N21" s="26"/>
      <c r="O21" s="26" t="s">
        <v>503</v>
      </c>
      <c r="P21" s="26" t="s">
        <v>478</v>
      </c>
    </row>
    <row r="22" spans="1:16" ht="16.899999999999999">
      <c r="A22" s="26" t="s">
        <v>551</v>
      </c>
      <c r="B22" s="27" t="s">
        <v>563</v>
      </c>
      <c r="C22" s="26" t="s">
        <v>564</v>
      </c>
      <c r="D22" s="26" t="s">
        <v>471</v>
      </c>
      <c r="E22" s="26" t="s">
        <v>64</v>
      </c>
      <c r="F22" s="26" t="s">
        <v>511</v>
      </c>
      <c r="G22" s="26" t="s">
        <v>565</v>
      </c>
      <c r="H22" s="26">
        <v>0.5</v>
      </c>
      <c r="I22" s="26" t="s">
        <v>500</v>
      </c>
      <c r="J22" s="26" t="s">
        <v>501</v>
      </c>
      <c r="K22" s="28">
        <v>45961.291666666664</v>
      </c>
      <c r="L22" s="26" t="s">
        <v>566</v>
      </c>
      <c r="M22" s="26" t="s">
        <v>487</v>
      </c>
      <c r="N22" s="26"/>
      <c r="O22" s="26" t="s">
        <v>503</v>
      </c>
      <c r="P22" s="26" t="s">
        <v>478</v>
      </c>
    </row>
    <row r="23" spans="1:16" ht="16.899999999999999">
      <c r="A23" s="26" t="s">
        <v>551</v>
      </c>
      <c r="B23" s="27" t="s">
        <v>567</v>
      </c>
      <c r="C23" s="26" t="s">
        <v>568</v>
      </c>
      <c r="D23" s="26" t="s">
        <v>471</v>
      </c>
      <c r="E23" s="26" t="s">
        <v>46</v>
      </c>
      <c r="F23" s="26" t="s">
        <v>472</v>
      </c>
      <c r="G23" s="26" t="s">
        <v>569</v>
      </c>
      <c r="H23" s="26">
        <v>0.5</v>
      </c>
      <c r="I23" s="26" t="s">
        <v>474</v>
      </c>
      <c r="J23" s="26"/>
      <c r="K23" s="28">
        <v>45324.333333333336</v>
      </c>
      <c r="L23" s="26" t="s">
        <v>570</v>
      </c>
      <c r="M23" s="26" t="s">
        <v>487</v>
      </c>
      <c r="N23" s="28">
        <v>45989.333333333336</v>
      </c>
      <c r="O23" s="26" t="s">
        <v>503</v>
      </c>
      <c r="P23" s="26" t="s">
        <v>478</v>
      </c>
    </row>
    <row r="24" spans="1:16" ht="16.899999999999999">
      <c r="A24" s="26" t="s">
        <v>551</v>
      </c>
      <c r="B24" s="27" t="s">
        <v>571</v>
      </c>
      <c r="C24" s="26" t="s">
        <v>572</v>
      </c>
      <c r="D24" s="26" t="s">
        <v>471</v>
      </c>
      <c r="E24" s="26" t="s">
        <v>46</v>
      </c>
      <c r="F24" s="26" t="s">
        <v>472</v>
      </c>
      <c r="G24" s="26" t="s">
        <v>573</v>
      </c>
      <c r="H24" s="26">
        <v>0.5</v>
      </c>
      <c r="I24" s="26" t="s">
        <v>500</v>
      </c>
      <c r="J24" s="26" t="s">
        <v>501</v>
      </c>
      <c r="K24" s="28">
        <v>45793.291666666664</v>
      </c>
      <c r="L24" s="26" t="s">
        <v>574</v>
      </c>
      <c r="M24" s="26" t="s">
        <v>487</v>
      </c>
      <c r="N24" s="26"/>
      <c r="O24" s="26" t="s">
        <v>503</v>
      </c>
      <c r="P24" s="26" t="s">
        <v>478</v>
      </c>
    </row>
    <row r="25" spans="1:16" ht="16.899999999999999">
      <c r="A25" s="26" t="s">
        <v>551</v>
      </c>
      <c r="B25" s="27" t="s">
        <v>575</v>
      </c>
      <c r="C25" s="26" t="s">
        <v>576</v>
      </c>
      <c r="D25" s="26" t="s">
        <v>471</v>
      </c>
      <c r="E25" s="26" t="s">
        <v>64</v>
      </c>
      <c r="F25" s="26" t="s">
        <v>511</v>
      </c>
      <c r="G25" s="26" t="s">
        <v>577</v>
      </c>
      <c r="H25" s="26">
        <v>0.5</v>
      </c>
      <c r="I25" s="26" t="s">
        <v>474</v>
      </c>
      <c r="J25" s="26"/>
      <c r="K25" s="28">
        <v>45534.291666666664</v>
      </c>
      <c r="L25" s="26" t="s">
        <v>534</v>
      </c>
      <c r="M25" s="26" t="s">
        <v>487</v>
      </c>
      <c r="N25" s="26"/>
      <c r="O25" s="26" t="s">
        <v>503</v>
      </c>
      <c r="P25" s="26" t="s">
        <v>478</v>
      </c>
    </row>
    <row r="26" spans="1:16" ht="16.899999999999999">
      <c r="A26" s="26" t="s">
        <v>551</v>
      </c>
      <c r="B26" s="27" t="s">
        <v>578</v>
      </c>
      <c r="C26" s="26" t="s">
        <v>579</v>
      </c>
      <c r="D26" s="26" t="s">
        <v>471</v>
      </c>
      <c r="E26" s="26" t="s">
        <v>64</v>
      </c>
      <c r="F26" s="26" t="s">
        <v>511</v>
      </c>
      <c r="G26" s="26" t="s">
        <v>580</v>
      </c>
      <c r="H26" s="26">
        <v>0.5</v>
      </c>
      <c r="I26" s="26" t="s">
        <v>500</v>
      </c>
      <c r="J26" s="26" t="s">
        <v>501</v>
      </c>
      <c r="K26" s="28">
        <v>45821.291666666664</v>
      </c>
      <c r="L26" s="26" t="s">
        <v>581</v>
      </c>
      <c r="M26" s="26" t="s">
        <v>487</v>
      </c>
      <c r="N26" s="26"/>
      <c r="O26" s="26" t="s">
        <v>503</v>
      </c>
      <c r="P26" s="26" t="s">
        <v>582</v>
      </c>
    </row>
    <row r="27" spans="1:16" ht="16.899999999999999">
      <c r="A27" s="26" t="s">
        <v>551</v>
      </c>
      <c r="B27" s="27" t="s">
        <v>583</v>
      </c>
      <c r="C27" s="26" t="s">
        <v>584</v>
      </c>
      <c r="D27" s="26" t="s">
        <v>585</v>
      </c>
      <c r="E27" s="26" t="s">
        <v>63</v>
      </c>
      <c r="F27" s="26" t="s">
        <v>472</v>
      </c>
      <c r="G27" s="26" t="s">
        <v>586</v>
      </c>
      <c r="H27" s="26">
        <v>1</v>
      </c>
      <c r="I27" s="26" t="s">
        <v>500</v>
      </c>
      <c r="J27" s="26" t="s">
        <v>501</v>
      </c>
      <c r="K27" s="28">
        <v>45975.333333333336</v>
      </c>
      <c r="L27" s="26" t="s">
        <v>587</v>
      </c>
      <c r="M27" s="26" t="s">
        <v>487</v>
      </c>
      <c r="N27" s="26"/>
      <c r="O27" s="26" t="s">
        <v>503</v>
      </c>
      <c r="P27" s="26" t="s">
        <v>478</v>
      </c>
    </row>
    <row r="28" spans="1:16" ht="16.899999999999999">
      <c r="A28" s="26" t="s">
        <v>551</v>
      </c>
      <c r="B28" s="27" t="s">
        <v>588</v>
      </c>
      <c r="C28" s="26" t="s">
        <v>589</v>
      </c>
      <c r="D28" s="26" t="s">
        <v>590</v>
      </c>
      <c r="E28" s="26" t="s">
        <v>63</v>
      </c>
      <c r="F28" s="26" t="s">
        <v>472</v>
      </c>
      <c r="G28" s="26" t="s">
        <v>591</v>
      </c>
      <c r="H28" s="26">
        <v>1</v>
      </c>
      <c r="I28" s="26" t="s">
        <v>500</v>
      </c>
      <c r="J28" s="26" t="s">
        <v>507</v>
      </c>
      <c r="K28" s="28">
        <v>45513.291666666664</v>
      </c>
      <c r="L28" s="26" t="s">
        <v>592</v>
      </c>
      <c r="M28" s="26" t="s">
        <v>487</v>
      </c>
      <c r="N28" s="26"/>
      <c r="O28" s="26" t="s">
        <v>503</v>
      </c>
      <c r="P28" s="26" t="s">
        <v>478</v>
      </c>
    </row>
    <row r="29" spans="1:16" ht="16.899999999999999">
      <c r="A29" s="26" t="s">
        <v>551</v>
      </c>
      <c r="B29" s="27" t="s">
        <v>593</v>
      </c>
      <c r="C29" s="26" t="s">
        <v>594</v>
      </c>
      <c r="D29" s="26" t="s">
        <v>585</v>
      </c>
      <c r="E29" s="26" t="s">
        <v>63</v>
      </c>
      <c r="F29" s="26" t="s">
        <v>472</v>
      </c>
      <c r="G29" s="26" t="s">
        <v>595</v>
      </c>
      <c r="H29" s="26">
        <v>1</v>
      </c>
      <c r="I29" s="26" t="s">
        <v>500</v>
      </c>
      <c r="J29" s="26" t="s">
        <v>507</v>
      </c>
      <c r="K29" s="28">
        <v>45814.291666666664</v>
      </c>
      <c r="L29" s="26" t="s">
        <v>596</v>
      </c>
      <c r="M29" s="26" t="s">
        <v>487</v>
      </c>
      <c r="N29" s="26"/>
      <c r="O29" s="26" t="s">
        <v>503</v>
      </c>
      <c r="P29" s="26" t="s">
        <v>478</v>
      </c>
    </row>
    <row r="30" spans="1:16" ht="16.899999999999999">
      <c r="A30" s="26" t="s">
        <v>597</v>
      </c>
      <c r="B30" s="27" t="s">
        <v>598</v>
      </c>
      <c r="C30" s="26" t="s">
        <v>599</v>
      </c>
      <c r="D30" s="26" t="s">
        <v>471</v>
      </c>
      <c r="E30" s="26" t="s">
        <v>64</v>
      </c>
      <c r="F30" s="26" t="s">
        <v>511</v>
      </c>
      <c r="G30" s="26" t="s">
        <v>600</v>
      </c>
      <c r="H30" s="26">
        <v>0.5</v>
      </c>
      <c r="I30" s="26" t="s">
        <v>500</v>
      </c>
      <c r="J30" s="26"/>
      <c r="K30" s="28">
        <v>45590.291666666664</v>
      </c>
      <c r="L30" s="26" t="s">
        <v>601</v>
      </c>
      <c r="M30" s="26" t="s">
        <v>487</v>
      </c>
      <c r="N30" s="26"/>
      <c r="O30" s="26" t="s">
        <v>503</v>
      </c>
      <c r="P30" s="26" t="s">
        <v>478</v>
      </c>
    </row>
    <row r="31" spans="1:16" ht="16.899999999999999">
      <c r="A31" s="26" t="s">
        <v>597</v>
      </c>
      <c r="B31" s="27" t="s">
        <v>602</v>
      </c>
      <c r="C31" s="26" t="s">
        <v>603</v>
      </c>
      <c r="D31" s="26" t="s">
        <v>471</v>
      </c>
      <c r="E31" s="26" t="s">
        <v>64</v>
      </c>
      <c r="F31" s="26" t="s">
        <v>511</v>
      </c>
      <c r="G31" s="26" t="s">
        <v>604</v>
      </c>
      <c r="H31" s="26">
        <v>0.5</v>
      </c>
      <c r="I31" s="26" t="s">
        <v>500</v>
      </c>
      <c r="J31" s="26" t="s">
        <v>507</v>
      </c>
      <c r="K31" s="28">
        <v>45674.333333333336</v>
      </c>
      <c r="L31" s="26" t="s">
        <v>605</v>
      </c>
      <c r="M31" s="26" t="s">
        <v>487</v>
      </c>
      <c r="N31" s="26"/>
      <c r="O31" s="26" t="s">
        <v>503</v>
      </c>
      <c r="P31" s="26" t="s">
        <v>478</v>
      </c>
    </row>
    <row r="32" spans="1:16" ht="16.899999999999999">
      <c r="A32" s="26" t="s">
        <v>597</v>
      </c>
      <c r="B32" s="27" t="s">
        <v>606</v>
      </c>
      <c r="C32" s="26" t="s">
        <v>607</v>
      </c>
      <c r="D32" s="26" t="s">
        <v>471</v>
      </c>
      <c r="E32" s="26" t="s">
        <v>64</v>
      </c>
      <c r="F32" s="26" t="s">
        <v>511</v>
      </c>
      <c r="G32" s="26" t="s">
        <v>608</v>
      </c>
      <c r="H32" s="26">
        <v>0.5</v>
      </c>
      <c r="I32" s="26" t="s">
        <v>474</v>
      </c>
      <c r="J32" s="26"/>
      <c r="K32" s="28">
        <v>45327.333333333336</v>
      </c>
      <c r="L32" s="26" t="s">
        <v>601</v>
      </c>
      <c r="M32" s="26" t="s">
        <v>487</v>
      </c>
      <c r="N32" s="26"/>
      <c r="O32" s="26" t="s">
        <v>503</v>
      </c>
      <c r="P32" s="26" t="s">
        <v>478</v>
      </c>
    </row>
    <row r="33" spans="1:16" ht="16.899999999999999">
      <c r="A33" s="26" t="s">
        <v>597</v>
      </c>
      <c r="B33" s="27" t="s">
        <v>609</v>
      </c>
      <c r="C33" s="26" t="s">
        <v>610</v>
      </c>
      <c r="D33" s="26" t="s">
        <v>471</v>
      </c>
      <c r="E33" s="26" t="s">
        <v>64</v>
      </c>
      <c r="F33" s="26" t="s">
        <v>511</v>
      </c>
      <c r="G33" s="26" t="s">
        <v>611</v>
      </c>
      <c r="H33" s="26">
        <v>0.5</v>
      </c>
      <c r="I33" s="26" t="s">
        <v>500</v>
      </c>
      <c r="J33" s="26" t="s">
        <v>501</v>
      </c>
      <c r="K33" s="28">
        <v>45912.291666666664</v>
      </c>
      <c r="L33" s="26" t="s">
        <v>612</v>
      </c>
      <c r="M33" s="26" t="s">
        <v>487</v>
      </c>
      <c r="N33" s="26"/>
      <c r="O33" s="26" t="s">
        <v>503</v>
      </c>
      <c r="P33" s="26" t="s">
        <v>478</v>
      </c>
    </row>
    <row r="34" spans="1:16" ht="16.899999999999999">
      <c r="A34" s="26" t="s">
        <v>551</v>
      </c>
      <c r="B34" s="27" t="s">
        <v>613</v>
      </c>
      <c r="C34" s="26" t="s">
        <v>614</v>
      </c>
      <c r="D34" s="26" t="s">
        <v>471</v>
      </c>
      <c r="E34" s="26" t="s">
        <v>64</v>
      </c>
      <c r="F34" s="26" t="s">
        <v>511</v>
      </c>
      <c r="G34" s="26" t="s">
        <v>615</v>
      </c>
      <c r="H34" s="26">
        <v>0.5</v>
      </c>
      <c r="I34" s="26" t="s">
        <v>500</v>
      </c>
      <c r="J34" s="26" t="s">
        <v>501</v>
      </c>
      <c r="K34" s="28">
        <v>45835.291666666664</v>
      </c>
      <c r="L34" s="26" t="s">
        <v>616</v>
      </c>
      <c r="M34" s="26" t="s">
        <v>487</v>
      </c>
      <c r="N34" s="26"/>
      <c r="O34" s="26" t="s">
        <v>503</v>
      </c>
      <c r="P34" s="26" t="s">
        <v>478</v>
      </c>
    </row>
    <row r="35" spans="1:16" ht="16.899999999999999">
      <c r="A35" s="26" t="s">
        <v>597</v>
      </c>
      <c r="B35" s="27" t="s">
        <v>617</v>
      </c>
      <c r="C35" s="26" t="s">
        <v>618</v>
      </c>
      <c r="D35" s="26" t="s">
        <v>471</v>
      </c>
      <c r="E35" s="26" t="s">
        <v>64</v>
      </c>
      <c r="F35" s="26" t="s">
        <v>511</v>
      </c>
      <c r="G35" s="26" t="s">
        <v>619</v>
      </c>
      <c r="H35" s="26">
        <v>0.5</v>
      </c>
      <c r="I35" s="26" t="s">
        <v>500</v>
      </c>
      <c r="J35" s="26" t="s">
        <v>501</v>
      </c>
      <c r="K35" s="28">
        <v>46052.333333333336</v>
      </c>
      <c r="L35" s="26" t="s">
        <v>620</v>
      </c>
      <c r="M35" s="26" t="s">
        <v>476</v>
      </c>
      <c r="N35" s="26"/>
      <c r="O35" s="26" t="s">
        <v>503</v>
      </c>
      <c r="P35" s="26" t="s">
        <v>478</v>
      </c>
    </row>
    <row r="36" spans="1:16" ht="16.899999999999999">
      <c r="A36" s="26" t="s">
        <v>597</v>
      </c>
      <c r="B36" s="27" t="s">
        <v>621</v>
      </c>
      <c r="C36" s="26" t="s">
        <v>622</v>
      </c>
      <c r="D36" s="26" t="s">
        <v>471</v>
      </c>
      <c r="E36" s="26" t="s">
        <v>46</v>
      </c>
      <c r="F36" s="26" t="s">
        <v>472</v>
      </c>
      <c r="G36" s="26" t="s">
        <v>623</v>
      </c>
      <c r="H36" s="26">
        <v>0.5</v>
      </c>
      <c r="I36" s="26" t="s">
        <v>500</v>
      </c>
      <c r="J36" s="26" t="s">
        <v>507</v>
      </c>
      <c r="K36" s="28">
        <v>45975.333333333336</v>
      </c>
      <c r="L36" s="26" t="s">
        <v>624</v>
      </c>
      <c r="M36" s="26" t="s">
        <v>487</v>
      </c>
      <c r="N36" s="26"/>
      <c r="O36" s="26" t="s">
        <v>503</v>
      </c>
      <c r="P36" s="26" t="s">
        <v>478</v>
      </c>
    </row>
    <row r="37" spans="1:16" ht="16.899999999999999">
      <c r="A37" s="26" t="s">
        <v>597</v>
      </c>
      <c r="B37" s="27" t="s">
        <v>625</v>
      </c>
      <c r="C37" s="26" t="s">
        <v>626</v>
      </c>
      <c r="D37" s="26" t="s">
        <v>471</v>
      </c>
      <c r="E37" s="26" t="s">
        <v>46</v>
      </c>
      <c r="F37" s="26" t="s">
        <v>472</v>
      </c>
      <c r="G37" s="26" t="s">
        <v>627</v>
      </c>
      <c r="H37" s="26">
        <v>0.5</v>
      </c>
      <c r="I37" s="26" t="s">
        <v>500</v>
      </c>
      <c r="J37" s="26" t="s">
        <v>507</v>
      </c>
      <c r="K37" s="28">
        <v>45975.333333333336</v>
      </c>
      <c r="L37" s="26" t="s">
        <v>628</v>
      </c>
      <c r="M37" s="26" t="s">
        <v>487</v>
      </c>
      <c r="N37" s="26"/>
      <c r="O37" s="26" t="s">
        <v>503</v>
      </c>
      <c r="P37" s="26" t="s">
        <v>478</v>
      </c>
    </row>
    <row r="38" spans="1:16" ht="16.899999999999999">
      <c r="A38" s="26" t="s">
        <v>597</v>
      </c>
      <c r="B38" s="27" t="s">
        <v>629</v>
      </c>
      <c r="C38" s="26" t="s">
        <v>630</v>
      </c>
      <c r="D38" s="26" t="s">
        <v>498</v>
      </c>
      <c r="E38" s="26" t="s">
        <v>63</v>
      </c>
      <c r="F38" s="26" t="s">
        <v>472</v>
      </c>
      <c r="G38" s="26" t="s">
        <v>631</v>
      </c>
      <c r="H38" s="26">
        <v>1</v>
      </c>
      <c r="I38" s="26" t="s">
        <v>500</v>
      </c>
      <c r="J38" s="26" t="s">
        <v>507</v>
      </c>
      <c r="K38" s="28">
        <v>45870.291666666664</v>
      </c>
      <c r="L38" s="26" t="s">
        <v>632</v>
      </c>
      <c r="M38" s="26" t="s">
        <v>487</v>
      </c>
      <c r="N38" s="26"/>
      <c r="O38" s="26" t="s">
        <v>503</v>
      </c>
      <c r="P38" s="26" t="s">
        <v>478</v>
      </c>
    </row>
    <row r="39" spans="1:16" ht="16.899999999999999">
      <c r="A39" s="26" t="s">
        <v>551</v>
      </c>
      <c r="B39" s="27" t="s">
        <v>633</v>
      </c>
      <c r="C39" s="26" t="s">
        <v>634</v>
      </c>
      <c r="D39" s="26" t="s">
        <v>585</v>
      </c>
      <c r="E39" s="26" t="s">
        <v>63</v>
      </c>
      <c r="F39" s="26" t="s">
        <v>472</v>
      </c>
      <c r="G39" s="26" t="s">
        <v>635</v>
      </c>
      <c r="H39" s="26">
        <v>1</v>
      </c>
      <c r="I39" s="26" t="s">
        <v>500</v>
      </c>
      <c r="J39" s="26" t="s">
        <v>501</v>
      </c>
      <c r="K39" s="28">
        <v>45975.333333333336</v>
      </c>
      <c r="L39" s="26" t="s">
        <v>587</v>
      </c>
      <c r="M39" s="26" t="s">
        <v>487</v>
      </c>
      <c r="N39" s="26"/>
      <c r="O39" s="26" t="s">
        <v>488</v>
      </c>
      <c r="P39" s="26" t="s">
        <v>46</v>
      </c>
    </row>
    <row r="40" spans="1:16" ht="16.899999999999999">
      <c r="A40" s="26" t="s">
        <v>597</v>
      </c>
      <c r="B40" s="27" t="s">
        <v>636</v>
      </c>
      <c r="C40" s="26" t="s">
        <v>637</v>
      </c>
      <c r="D40" s="26" t="s">
        <v>585</v>
      </c>
      <c r="E40" s="26" t="s">
        <v>63</v>
      </c>
      <c r="F40" s="26" t="s">
        <v>472</v>
      </c>
      <c r="G40" s="26" t="s">
        <v>638</v>
      </c>
      <c r="H40" s="26">
        <v>1</v>
      </c>
      <c r="I40" s="26" t="s">
        <v>500</v>
      </c>
      <c r="J40" s="26" t="s">
        <v>507</v>
      </c>
      <c r="K40" s="28">
        <v>45975.333333333336</v>
      </c>
      <c r="L40" s="26" t="s">
        <v>639</v>
      </c>
      <c r="M40" s="26" t="s">
        <v>487</v>
      </c>
      <c r="N40" s="26"/>
      <c r="O40" s="26" t="s">
        <v>503</v>
      </c>
      <c r="P40" s="26" t="s">
        <v>478</v>
      </c>
    </row>
    <row r="41" spans="1:16" ht="16.899999999999999">
      <c r="A41" s="26" t="s">
        <v>640</v>
      </c>
      <c r="B41" s="27" t="s">
        <v>641</v>
      </c>
      <c r="C41" s="26" t="s">
        <v>642</v>
      </c>
      <c r="D41" s="26" t="s">
        <v>585</v>
      </c>
      <c r="E41" s="26" t="s">
        <v>63</v>
      </c>
      <c r="F41" s="26" t="s">
        <v>472</v>
      </c>
      <c r="G41" s="26" t="s">
        <v>643</v>
      </c>
      <c r="H41" s="26">
        <v>1</v>
      </c>
      <c r="I41" s="26" t="s">
        <v>500</v>
      </c>
      <c r="J41" s="26" t="s">
        <v>507</v>
      </c>
      <c r="K41" s="28">
        <v>45961.291666666664</v>
      </c>
      <c r="L41" s="26" t="s">
        <v>644</v>
      </c>
      <c r="M41" s="26" t="s">
        <v>487</v>
      </c>
      <c r="N41" s="26"/>
      <c r="O41" s="26" t="s">
        <v>503</v>
      </c>
      <c r="P41" s="26" t="s">
        <v>478</v>
      </c>
    </row>
    <row r="42" spans="1:16" ht="16.899999999999999">
      <c r="A42" s="26" t="s">
        <v>551</v>
      </c>
      <c r="B42" s="27" t="s">
        <v>645</v>
      </c>
      <c r="C42" s="26" t="s">
        <v>646</v>
      </c>
      <c r="D42" s="26" t="s">
        <v>590</v>
      </c>
      <c r="E42" s="26" t="s">
        <v>63</v>
      </c>
      <c r="F42" s="26" t="s">
        <v>472</v>
      </c>
      <c r="G42" s="26" t="s">
        <v>647</v>
      </c>
      <c r="H42" s="26">
        <v>1</v>
      </c>
      <c r="I42" s="26" t="s">
        <v>500</v>
      </c>
      <c r="J42" s="26" t="s">
        <v>507</v>
      </c>
      <c r="K42" s="28">
        <v>45877.291666666664</v>
      </c>
      <c r="L42" s="26" t="s">
        <v>648</v>
      </c>
      <c r="M42" s="26" t="s">
        <v>487</v>
      </c>
      <c r="N42" s="26"/>
      <c r="O42" s="26" t="s">
        <v>503</v>
      </c>
      <c r="P42" s="26" t="s">
        <v>478</v>
      </c>
    </row>
    <row r="43" spans="1:16" ht="16.899999999999999">
      <c r="A43" s="26" t="s">
        <v>551</v>
      </c>
      <c r="B43" s="27" t="s">
        <v>649</v>
      </c>
      <c r="C43" s="26" t="s">
        <v>650</v>
      </c>
      <c r="D43" s="26" t="s">
        <v>585</v>
      </c>
      <c r="E43" s="26" t="s">
        <v>63</v>
      </c>
      <c r="F43" s="26" t="s">
        <v>472</v>
      </c>
      <c r="G43" s="26" t="s">
        <v>651</v>
      </c>
      <c r="H43" s="26">
        <v>1</v>
      </c>
      <c r="I43" s="26" t="s">
        <v>500</v>
      </c>
      <c r="J43" s="26" t="s">
        <v>507</v>
      </c>
      <c r="K43" s="28">
        <v>45800.291666666664</v>
      </c>
      <c r="L43" s="26" t="s">
        <v>652</v>
      </c>
      <c r="M43" s="26" t="s">
        <v>487</v>
      </c>
      <c r="N43" s="26"/>
      <c r="O43" s="26" t="s">
        <v>503</v>
      </c>
      <c r="P43" s="26" t="s">
        <v>478</v>
      </c>
    </row>
    <row r="44" spans="1:16" ht="16.899999999999999">
      <c r="A44" s="26" t="s">
        <v>551</v>
      </c>
      <c r="B44" s="27" t="s">
        <v>653</v>
      </c>
      <c r="C44" s="26" t="s">
        <v>654</v>
      </c>
      <c r="D44" s="26" t="s">
        <v>585</v>
      </c>
      <c r="E44" s="26" t="s">
        <v>63</v>
      </c>
      <c r="F44" s="26" t="s">
        <v>472</v>
      </c>
      <c r="G44" s="26" t="s">
        <v>655</v>
      </c>
      <c r="H44" s="26">
        <v>1</v>
      </c>
      <c r="I44" s="26" t="s">
        <v>500</v>
      </c>
      <c r="J44" s="26" t="s">
        <v>507</v>
      </c>
      <c r="K44" s="28">
        <v>45821.291666666664</v>
      </c>
      <c r="L44" s="26" t="s">
        <v>656</v>
      </c>
      <c r="M44" s="26" t="s">
        <v>487</v>
      </c>
      <c r="N44" s="26"/>
      <c r="O44" s="26" t="s">
        <v>503</v>
      </c>
      <c r="P44" s="26" t="s">
        <v>478</v>
      </c>
    </row>
    <row r="45" spans="1:16" ht="16.899999999999999">
      <c r="A45" s="26" t="s">
        <v>551</v>
      </c>
      <c r="B45" s="27" t="s">
        <v>657</v>
      </c>
      <c r="C45" s="26" t="s">
        <v>658</v>
      </c>
      <c r="D45" s="26" t="s">
        <v>471</v>
      </c>
      <c r="E45" s="26" t="s">
        <v>63</v>
      </c>
      <c r="F45" s="26" t="s">
        <v>472</v>
      </c>
      <c r="G45" s="26" t="s">
        <v>659</v>
      </c>
      <c r="H45" s="26">
        <v>0.5</v>
      </c>
      <c r="I45" s="26" t="s">
        <v>500</v>
      </c>
      <c r="J45" s="26" t="s">
        <v>507</v>
      </c>
      <c r="K45" s="28">
        <v>45961.291666666664</v>
      </c>
      <c r="L45" s="26" t="s">
        <v>660</v>
      </c>
      <c r="M45" s="26" t="s">
        <v>487</v>
      </c>
      <c r="N45" s="26"/>
      <c r="O45" s="26" t="s">
        <v>503</v>
      </c>
      <c r="P45" s="26" t="s">
        <v>661</v>
      </c>
    </row>
    <row r="46" spans="1:16" ht="16.899999999999999">
      <c r="A46" s="26" t="s">
        <v>495</v>
      </c>
      <c r="B46" s="27" t="s">
        <v>662</v>
      </c>
      <c r="C46" s="26" t="s">
        <v>663</v>
      </c>
      <c r="D46" s="26" t="s">
        <v>664</v>
      </c>
      <c r="E46" s="26" t="s">
        <v>46</v>
      </c>
      <c r="F46" s="26" t="s">
        <v>472</v>
      </c>
      <c r="G46" s="26" t="s">
        <v>665</v>
      </c>
      <c r="H46" s="26">
        <v>0.5</v>
      </c>
      <c r="I46" s="26" t="s">
        <v>500</v>
      </c>
      <c r="J46" s="26" t="s">
        <v>507</v>
      </c>
      <c r="K46" s="28">
        <v>45898.291666666664</v>
      </c>
      <c r="L46" s="26" t="s">
        <v>666</v>
      </c>
      <c r="M46" s="26" t="s">
        <v>487</v>
      </c>
      <c r="N46" s="26"/>
      <c r="O46" s="26" t="s">
        <v>503</v>
      </c>
      <c r="P46" s="26" t="s">
        <v>478</v>
      </c>
    </row>
    <row r="47" spans="1:16" ht="16.899999999999999">
      <c r="A47" s="26" t="s">
        <v>495</v>
      </c>
      <c r="B47" s="27" t="s">
        <v>667</v>
      </c>
      <c r="C47" s="26" t="s">
        <v>668</v>
      </c>
      <c r="D47" s="26" t="s">
        <v>585</v>
      </c>
      <c r="E47" s="26" t="s">
        <v>63</v>
      </c>
      <c r="F47" s="26" t="s">
        <v>472</v>
      </c>
      <c r="G47" s="26" t="s">
        <v>669</v>
      </c>
      <c r="H47" s="26">
        <v>1</v>
      </c>
      <c r="I47" s="26" t="s">
        <v>500</v>
      </c>
      <c r="J47" s="26" t="s">
        <v>507</v>
      </c>
      <c r="K47" s="28">
        <v>45681.333333333336</v>
      </c>
      <c r="L47" s="26" t="s">
        <v>670</v>
      </c>
      <c r="M47" s="26" t="s">
        <v>487</v>
      </c>
      <c r="N47" s="26"/>
      <c r="O47" s="26" t="s">
        <v>503</v>
      </c>
      <c r="P47" s="26" t="s">
        <v>478</v>
      </c>
    </row>
    <row r="48" spans="1:16" ht="16.899999999999999">
      <c r="A48" s="26" t="s">
        <v>495</v>
      </c>
      <c r="B48" s="27" t="s">
        <v>671</v>
      </c>
      <c r="C48" s="26" t="s">
        <v>672</v>
      </c>
      <c r="D48" s="26" t="s">
        <v>585</v>
      </c>
      <c r="E48" s="26" t="s">
        <v>46</v>
      </c>
      <c r="F48" s="26" t="s">
        <v>472</v>
      </c>
      <c r="G48" s="26" t="s">
        <v>673</v>
      </c>
      <c r="H48" s="26">
        <v>1</v>
      </c>
      <c r="I48" s="26" t="s">
        <v>500</v>
      </c>
      <c r="J48" s="26" t="s">
        <v>501</v>
      </c>
      <c r="K48" s="28">
        <v>45331.333333333336</v>
      </c>
      <c r="L48" s="26" t="s">
        <v>674</v>
      </c>
      <c r="M48" s="26" t="s">
        <v>487</v>
      </c>
      <c r="N48" s="28">
        <v>46022.333333333336</v>
      </c>
      <c r="O48" s="26" t="s">
        <v>503</v>
      </c>
      <c r="P48" s="26" t="s">
        <v>478</v>
      </c>
    </row>
    <row r="49" spans="1:16" ht="16.899999999999999">
      <c r="A49" s="26" t="s">
        <v>495</v>
      </c>
      <c r="B49" s="27" t="s">
        <v>675</v>
      </c>
      <c r="C49" s="26" t="s">
        <v>676</v>
      </c>
      <c r="D49" s="26" t="s">
        <v>471</v>
      </c>
      <c r="E49" s="26" t="s">
        <v>64</v>
      </c>
      <c r="F49" s="26" t="s">
        <v>511</v>
      </c>
      <c r="G49" s="26" t="s">
        <v>677</v>
      </c>
      <c r="H49" s="26">
        <v>0.5</v>
      </c>
      <c r="I49" s="26" t="s">
        <v>500</v>
      </c>
      <c r="J49" s="26" t="s">
        <v>501</v>
      </c>
      <c r="K49" s="28">
        <v>45940.291666666664</v>
      </c>
      <c r="L49" s="26" t="s">
        <v>678</v>
      </c>
      <c r="M49" s="26" t="s">
        <v>487</v>
      </c>
      <c r="N49" s="26"/>
      <c r="O49" s="26" t="s">
        <v>503</v>
      </c>
      <c r="P49" s="26" t="s">
        <v>478</v>
      </c>
    </row>
    <row r="50" spans="1:16" ht="16.899999999999999">
      <c r="A50" s="26" t="s">
        <v>495</v>
      </c>
      <c r="B50" s="27" t="s">
        <v>679</v>
      </c>
      <c r="C50" s="26" t="s">
        <v>680</v>
      </c>
      <c r="D50" s="26" t="s">
        <v>585</v>
      </c>
      <c r="E50" s="26" t="s">
        <v>63</v>
      </c>
      <c r="F50" s="26" t="s">
        <v>472</v>
      </c>
      <c r="G50" s="26" t="s">
        <v>681</v>
      </c>
      <c r="H50" s="26">
        <v>1</v>
      </c>
      <c r="I50" s="26" t="s">
        <v>500</v>
      </c>
      <c r="J50" s="26" t="s">
        <v>507</v>
      </c>
      <c r="K50" s="28">
        <v>45898.291666666664</v>
      </c>
      <c r="L50" s="26" t="s">
        <v>682</v>
      </c>
      <c r="M50" s="26" t="s">
        <v>487</v>
      </c>
      <c r="N50" s="26"/>
      <c r="O50" s="26" t="s">
        <v>503</v>
      </c>
      <c r="P50" s="26" t="s">
        <v>478</v>
      </c>
    </row>
    <row r="51" spans="1:16" ht="16.899999999999999">
      <c r="A51" s="26" t="s">
        <v>495</v>
      </c>
      <c r="B51" s="27" t="s">
        <v>683</v>
      </c>
      <c r="C51" s="26" t="s">
        <v>684</v>
      </c>
      <c r="D51" s="26" t="s">
        <v>471</v>
      </c>
      <c r="E51" s="26" t="s">
        <v>46</v>
      </c>
      <c r="F51" s="26" t="s">
        <v>472</v>
      </c>
      <c r="G51" s="26" t="s">
        <v>685</v>
      </c>
      <c r="H51" s="26">
        <v>0.5</v>
      </c>
      <c r="I51" s="26" t="s">
        <v>500</v>
      </c>
      <c r="J51" s="26" t="s">
        <v>507</v>
      </c>
      <c r="K51" s="28">
        <v>45933.291666666664</v>
      </c>
      <c r="L51" s="26" t="s">
        <v>686</v>
      </c>
      <c r="M51" s="26" t="s">
        <v>487</v>
      </c>
      <c r="N51" s="26"/>
      <c r="O51" s="26" t="s">
        <v>503</v>
      </c>
      <c r="P51" s="26" t="s">
        <v>478</v>
      </c>
    </row>
    <row r="52" spans="1:16" ht="16.899999999999999">
      <c r="A52" s="26" t="s">
        <v>495</v>
      </c>
      <c r="B52" s="27" t="s">
        <v>687</v>
      </c>
      <c r="C52" s="26" t="s">
        <v>688</v>
      </c>
      <c r="D52" s="26" t="s">
        <v>471</v>
      </c>
      <c r="E52" s="26" t="s">
        <v>46</v>
      </c>
      <c r="F52" s="26" t="s">
        <v>472</v>
      </c>
      <c r="G52" s="26" t="s">
        <v>689</v>
      </c>
      <c r="H52" s="26">
        <v>0.5</v>
      </c>
      <c r="I52" s="26" t="s">
        <v>500</v>
      </c>
      <c r="J52" s="26" t="s">
        <v>507</v>
      </c>
      <c r="K52" s="28">
        <v>45898.291666666664</v>
      </c>
      <c r="L52" s="26" t="s">
        <v>690</v>
      </c>
      <c r="M52" s="26" t="s">
        <v>487</v>
      </c>
      <c r="N52" s="26"/>
      <c r="O52" s="26" t="s">
        <v>503</v>
      </c>
      <c r="P52" s="26" t="s">
        <v>478</v>
      </c>
    </row>
    <row r="53" spans="1:16" ht="16.899999999999999">
      <c r="A53" s="26" t="s">
        <v>495</v>
      </c>
      <c r="B53" s="27" t="s">
        <v>691</v>
      </c>
      <c r="C53" s="26" t="s">
        <v>692</v>
      </c>
      <c r="D53" s="26" t="s">
        <v>471</v>
      </c>
      <c r="E53" s="26" t="s">
        <v>46</v>
      </c>
      <c r="F53" s="26" t="s">
        <v>472</v>
      </c>
      <c r="G53" s="26" t="s">
        <v>693</v>
      </c>
      <c r="H53" s="26">
        <v>0.5</v>
      </c>
      <c r="I53" s="26" t="s">
        <v>500</v>
      </c>
      <c r="J53" s="26" t="s">
        <v>507</v>
      </c>
      <c r="K53" s="28">
        <v>45982.333333333336</v>
      </c>
      <c r="L53" s="26" t="s">
        <v>694</v>
      </c>
      <c r="M53" s="26" t="s">
        <v>476</v>
      </c>
      <c r="N53" s="26"/>
      <c r="O53" s="26" t="s">
        <v>503</v>
      </c>
      <c r="P53" s="26" t="s">
        <v>478</v>
      </c>
    </row>
    <row r="54" spans="1:16" ht="16.899999999999999">
      <c r="A54" s="26" t="s">
        <v>495</v>
      </c>
      <c r="B54" s="27" t="s">
        <v>695</v>
      </c>
      <c r="C54" s="26" t="s">
        <v>696</v>
      </c>
      <c r="D54" s="26" t="s">
        <v>471</v>
      </c>
      <c r="E54" s="26" t="s">
        <v>64</v>
      </c>
      <c r="F54" s="26" t="s">
        <v>511</v>
      </c>
      <c r="G54" s="26" t="s">
        <v>697</v>
      </c>
      <c r="H54" s="26">
        <v>0.5</v>
      </c>
      <c r="I54" s="26" t="s">
        <v>474</v>
      </c>
      <c r="J54" s="26"/>
      <c r="K54" s="28">
        <v>45660.333333333336</v>
      </c>
      <c r="L54" s="26" t="s">
        <v>530</v>
      </c>
      <c r="M54" s="26" t="s">
        <v>487</v>
      </c>
      <c r="N54" s="26"/>
      <c r="O54" s="26" t="s">
        <v>503</v>
      </c>
      <c r="P54" s="26" t="s">
        <v>478</v>
      </c>
    </row>
    <row r="55" spans="1:16" ht="16.899999999999999">
      <c r="A55" s="26" t="s">
        <v>495</v>
      </c>
      <c r="B55" s="27" t="s">
        <v>698</v>
      </c>
      <c r="C55" s="26" t="s">
        <v>699</v>
      </c>
      <c r="D55" s="26" t="s">
        <v>471</v>
      </c>
      <c r="E55" s="26" t="s">
        <v>64</v>
      </c>
      <c r="F55" s="26" t="s">
        <v>511</v>
      </c>
      <c r="G55" s="26" t="s">
        <v>700</v>
      </c>
      <c r="H55" s="26">
        <v>0.5</v>
      </c>
      <c r="I55" s="26" t="s">
        <v>474</v>
      </c>
      <c r="J55" s="26"/>
      <c r="K55" s="28">
        <v>45565.291666666664</v>
      </c>
      <c r="L55" s="26" t="s">
        <v>530</v>
      </c>
      <c r="M55" s="26" t="s">
        <v>487</v>
      </c>
      <c r="N55" s="26"/>
      <c r="O55" s="26" t="s">
        <v>503</v>
      </c>
      <c r="P55" s="26" t="s">
        <v>478</v>
      </c>
    </row>
    <row r="56" spans="1:16" ht="16.899999999999999">
      <c r="A56" s="26" t="s">
        <v>495</v>
      </c>
      <c r="B56" s="27" t="s">
        <v>701</v>
      </c>
      <c r="C56" s="26" t="s">
        <v>702</v>
      </c>
      <c r="D56" s="26" t="s">
        <v>471</v>
      </c>
      <c r="E56" s="26" t="s">
        <v>46</v>
      </c>
      <c r="F56" s="26" t="s">
        <v>472</v>
      </c>
      <c r="G56" s="26" t="s">
        <v>703</v>
      </c>
      <c r="H56" s="26">
        <v>0.5</v>
      </c>
      <c r="I56" s="26" t="s">
        <v>474</v>
      </c>
      <c r="J56" s="26"/>
      <c r="K56" s="28">
        <v>45856.291666666664</v>
      </c>
      <c r="L56" s="26" t="s">
        <v>530</v>
      </c>
      <c r="M56" s="26" t="s">
        <v>487</v>
      </c>
      <c r="N56" s="26"/>
      <c r="O56" s="26" t="s">
        <v>503</v>
      </c>
      <c r="P56" s="26" t="s">
        <v>478</v>
      </c>
    </row>
    <row r="57" spans="1:16" ht="16.899999999999999">
      <c r="A57" s="26" t="s">
        <v>495</v>
      </c>
      <c r="B57" s="27" t="s">
        <v>704</v>
      </c>
      <c r="C57" s="26" t="s">
        <v>705</v>
      </c>
      <c r="D57" s="26" t="s">
        <v>471</v>
      </c>
      <c r="E57" s="26" t="s">
        <v>46</v>
      </c>
      <c r="F57" s="26" t="s">
        <v>472</v>
      </c>
      <c r="G57" s="26" t="s">
        <v>706</v>
      </c>
      <c r="H57" s="26"/>
      <c r="I57" s="26" t="s">
        <v>500</v>
      </c>
      <c r="J57" s="26" t="s">
        <v>501</v>
      </c>
      <c r="K57" s="28">
        <v>45982.333333333336</v>
      </c>
      <c r="L57" s="26" t="s">
        <v>707</v>
      </c>
      <c r="M57" s="26" t="s">
        <v>476</v>
      </c>
      <c r="N57" s="26"/>
      <c r="O57" s="26" t="s">
        <v>503</v>
      </c>
      <c r="P57" s="26" t="s">
        <v>478</v>
      </c>
    </row>
    <row r="58" spans="1:16" ht="16.899999999999999">
      <c r="A58" s="26" t="s">
        <v>495</v>
      </c>
      <c r="B58" s="27" t="s">
        <v>708</v>
      </c>
      <c r="C58" s="26" t="s">
        <v>709</v>
      </c>
      <c r="D58" s="26" t="s">
        <v>585</v>
      </c>
      <c r="E58" s="26" t="s">
        <v>63</v>
      </c>
      <c r="F58" s="26" t="s">
        <v>472</v>
      </c>
      <c r="G58" s="26" t="s">
        <v>710</v>
      </c>
      <c r="H58" s="26">
        <v>1</v>
      </c>
      <c r="I58" s="26" t="s">
        <v>500</v>
      </c>
      <c r="J58" s="26" t="s">
        <v>507</v>
      </c>
      <c r="K58" s="28">
        <v>45982.833333333336</v>
      </c>
      <c r="L58" s="26" t="s">
        <v>711</v>
      </c>
      <c r="M58" s="26" t="s">
        <v>476</v>
      </c>
      <c r="N58" s="26"/>
      <c r="O58" s="26" t="s">
        <v>503</v>
      </c>
      <c r="P58" s="26" t="s">
        <v>478</v>
      </c>
    </row>
    <row r="59" spans="1:16" ht="16.899999999999999">
      <c r="A59" s="26" t="s">
        <v>495</v>
      </c>
      <c r="B59" s="27" t="s">
        <v>712</v>
      </c>
      <c r="C59" s="26" t="s">
        <v>713</v>
      </c>
      <c r="D59" s="26" t="s">
        <v>585</v>
      </c>
      <c r="E59" s="26" t="s">
        <v>63</v>
      </c>
      <c r="F59" s="26" t="s">
        <v>472</v>
      </c>
      <c r="G59" s="26" t="s">
        <v>714</v>
      </c>
      <c r="H59" s="26">
        <v>1</v>
      </c>
      <c r="I59" s="26" t="s">
        <v>500</v>
      </c>
      <c r="J59" s="26" t="s">
        <v>507</v>
      </c>
      <c r="K59" s="28">
        <v>45618.333333333336</v>
      </c>
      <c r="L59" s="26" t="s">
        <v>715</v>
      </c>
      <c r="M59" s="26" t="s">
        <v>487</v>
      </c>
      <c r="N59" s="26"/>
      <c r="O59" s="26" t="s">
        <v>503</v>
      </c>
      <c r="P59" s="26" t="s">
        <v>478</v>
      </c>
    </row>
    <row r="60" spans="1:16" ht="16.899999999999999">
      <c r="A60" s="26" t="s">
        <v>495</v>
      </c>
      <c r="B60" s="27" t="s">
        <v>716</v>
      </c>
      <c r="C60" s="26" t="s">
        <v>717</v>
      </c>
      <c r="D60" s="26" t="s">
        <v>471</v>
      </c>
      <c r="E60" s="26" t="s">
        <v>64</v>
      </c>
      <c r="F60" s="26" t="s">
        <v>511</v>
      </c>
      <c r="G60" s="26" t="s">
        <v>718</v>
      </c>
      <c r="H60" s="26">
        <v>0.5</v>
      </c>
      <c r="I60" s="26" t="s">
        <v>500</v>
      </c>
      <c r="J60" s="26" t="s">
        <v>507</v>
      </c>
      <c r="K60" s="28">
        <v>45695.333333333336</v>
      </c>
      <c r="L60" s="26" t="s">
        <v>719</v>
      </c>
      <c r="M60" s="26" t="s">
        <v>487</v>
      </c>
      <c r="N60" s="26"/>
      <c r="O60" s="26" t="s">
        <v>503</v>
      </c>
      <c r="P60" s="26" t="s">
        <v>478</v>
      </c>
    </row>
    <row r="61" spans="1:16" ht="16.899999999999999">
      <c r="A61" s="26" t="s">
        <v>495</v>
      </c>
      <c r="B61" s="27" t="s">
        <v>720</v>
      </c>
      <c r="C61" s="26" t="s">
        <v>721</v>
      </c>
      <c r="D61" s="26" t="s">
        <v>471</v>
      </c>
      <c r="E61" s="26" t="s">
        <v>64</v>
      </c>
      <c r="F61" s="26" t="s">
        <v>511</v>
      </c>
      <c r="G61" s="26" t="s">
        <v>722</v>
      </c>
      <c r="H61" s="26">
        <v>0.5</v>
      </c>
      <c r="I61" s="26" t="s">
        <v>500</v>
      </c>
      <c r="J61" s="26" t="s">
        <v>501</v>
      </c>
      <c r="K61" s="28">
        <v>45688.333333333336</v>
      </c>
      <c r="L61" s="26" t="s">
        <v>723</v>
      </c>
      <c r="M61" s="26" t="s">
        <v>487</v>
      </c>
      <c r="N61" s="26"/>
      <c r="O61" s="26" t="s">
        <v>503</v>
      </c>
      <c r="P61" s="26" t="s">
        <v>478</v>
      </c>
    </row>
    <row r="62" spans="1:16" ht="16.899999999999999">
      <c r="A62" s="26" t="s">
        <v>495</v>
      </c>
      <c r="B62" s="27" t="s">
        <v>724</v>
      </c>
      <c r="C62" s="26" t="s">
        <v>725</v>
      </c>
      <c r="D62" s="26" t="s">
        <v>471</v>
      </c>
      <c r="E62" s="26" t="s">
        <v>64</v>
      </c>
      <c r="F62" s="26" t="s">
        <v>511</v>
      </c>
      <c r="G62" s="26" t="s">
        <v>726</v>
      </c>
      <c r="H62" s="26">
        <v>0.5</v>
      </c>
      <c r="I62" s="26" t="s">
        <v>500</v>
      </c>
      <c r="J62" s="26" t="s">
        <v>507</v>
      </c>
      <c r="K62" s="28">
        <v>45996.333333333336</v>
      </c>
      <c r="L62" s="26" t="s">
        <v>727</v>
      </c>
      <c r="M62" s="26" t="s">
        <v>476</v>
      </c>
      <c r="N62" s="26"/>
      <c r="O62" s="26" t="s">
        <v>503</v>
      </c>
      <c r="P62" s="26" t="s">
        <v>478</v>
      </c>
    </row>
    <row r="63" spans="1:16" ht="16.899999999999999">
      <c r="A63" s="26" t="s">
        <v>495</v>
      </c>
      <c r="B63" s="27" t="s">
        <v>728</v>
      </c>
      <c r="C63" s="26" t="s">
        <v>729</v>
      </c>
      <c r="D63" s="26" t="s">
        <v>471</v>
      </c>
      <c r="E63" s="26" t="s">
        <v>64</v>
      </c>
      <c r="F63" s="26" t="s">
        <v>511</v>
      </c>
      <c r="G63" s="26" t="s">
        <v>730</v>
      </c>
      <c r="H63" s="26">
        <v>0.5</v>
      </c>
      <c r="I63" s="26" t="s">
        <v>500</v>
      </c>
      <c r="J63" s="26" t="s">
        <v>501</v>
      </c>
      <c r="K63" s="28">
        <v>45688.333333333336</v>
      </c>
      <c r="L63" s="26" t="s">
        <v>731</v>
      </c>
      <c r="M63" s="26" t="s">
        <v>487</v>
      </c>
      <c r="N63" s="26"/>
      <c r="O63" s="26" t="s">
        <v>503</v>
      </c>
      <c r="P63" s="26" t="s">
        <v>478</v>
      </c>
    </row>
    <row r="64" spans="1:16" ht="16.899999999999999">
      <c r="A64" s="26" t="s">
        <v>495</v>
      </c>
      <c r="B64" s="27" t="s">
        <v>732</v>
      </c>
      <c r="C64" s="26" t="s">
        <v>733</v>
      </c>
      <c r="D64" s="26" t="s">
        <v>471</v>
      </c>
      <c r="E64" s="26" t="s">
        <v>46</v>
      </c>
      <c r="F64" s="26" t="s">
        <v>472</v>
      </c>
      <c r="G64" s="26" t="s">
        <v>734</v>
      </c>
      <c r="H64" s="26">
        <v>0.5</v>
      </c>
      <c r="I64" s="26" t="s">
        <v>500</v>
      </c>
      <c r="J64" s="26" t="s">
        <v>507</v>
      </c>
      <c r="K64" s="28">
        <v>45933.291666666664</v>
      </c>
      <c r="L64" s="26" t="s">
        <v>735</v>
      </c>
      <c r="M64" s="26" t="s">
        <v>487</v>
      </c>
      <c r="N64" s="26"/>
      <c r="O64" s="26" t="s">
        <v>503</v>
      </c>
      <c r="P64" s="26" t="s">
        <v>478</v>
      </c>
    </row>
    <row r="65" spans="1:16" ht="16.899999999999999">
      <c r="A65" s="26" t="s">
        <v>495</v>
      </c>
      <c r="B65" s="27" t="s">
        <v>736</v>
      </c>
      <c r="C65" s="26" t="s">
        <v>737</v>
      </c>
      <c r="D65" s="26" t="s">
        <v>585</v>
      </c>
      <c r="E65" s="26" t="s">
        <v>63</v>
      </c>
      <c r="F65" s="26" t="s">
        <v>472</v>
      </c>
      <c r="G65" s="26" t="s">
        <v>738</v>
      </c>
      <c r="H65" s="26">
        <v>1</v>
      </c>
      <c r="I65" s="26" t="s">
        <v>500</v>
      </c>
      <c r="J65" s="26" t="s">
        <v>507</v>
      </c>
      <c r="K65" s="28">
        <v>46003.333333333336</v>
      </c>
      <c r="L65" s="26" t="s">
        <v>739</v>
      </c>
      <c r="M65" s="26" t="s">
        <v>476</v>
      </c>
      <c r="N65" s="26"/>
      <c r="O65" s="26" t="s">
        <v>503</v>
      </c>
      <c r="P65" s="26" t="s">
        <v>478</v>
      </c>
    </row>
    <row r="66" spans="1:16" ht="16.899999999999999">
      <c r="A66" s="26" t="s">
        <v>495</v>
      </c>
      <c r="B66" s="27" t="s">
        <v>740</v>
      </c>
      <c r="C66" s="26" t="s">
        <v>741</v>
      </c>
      <c r="D66" s="26" t="s">
        <v>471</v>
      </c>
      <c r="E66" s="26" t="s">
        <v>63</v>
      </c>
      <c r="F66" s="26" t="s">
        <v>472</v>
      </c>
      <c r="G66" s="26" t="s">
        <v>742</v>
      </c>
      <c r="H66" s="26">
        <v>0.5</v>
      </c>
      <c r="I66" s="26" t="s">
        <v>500</v>
      </c>
      <c r="J66" s="26" t="s">
        <v>501</v>
      </c>
      <c r="K66" s="28">
        <v>45884.291666666664</v>
      </c>
      <c r="L66" s="26" t="s">
        <v>743</v>
      </c>
      <c r="M66" s="26" t="s">
        <v>487</v>
      </c>
      <c r="N66" s="26"/>
      <c r="O66" s="26" t="s">
        <v>503</v>
      </c>
      <c r="P66" s="26" t="s">
        <v>478</v>
      </c>
    </row>
    <row r="67" spans="1:16" ht="16.899999999999999">
      <c r="A67" s="26" t="s">
        <v>597</v>
      </c>
      <c r="B67" s="27" t="s">
        <v>744</v>
      </c>
      <c r="C67" s="26" t="s">
        <v>745</v>
      </c>
      <c r="D67" s="26" t="s">
        <v>471</v>
      </c>
      <c r="E67" s="26" t="s">
        <v>63</v>
      </c>
      <c r="F67" s="26" t="s">
        <v>472</v>
      </c>
      <c r="G67" s="26" t="s">
        <v>746</v>
      </c>
      <c r="H67" s="26">
        <v>0.5</v>
      </c>
      <c r="I67" s="26" t="s">
        <v>474</v>
      </c>
      <c r="J67" s="26"/>
      <c r="K67" s="28">
        <v>45793.291666666664</v>
      </c>
      <c r="L67" s="26" t="s">
        <v>534</v>
      </c>
      <c r="M67" s="26" t="s">
        <v>487</v>
      </c>
      <c r="N67" s="26"/>
      <c r="O67" s="26" t="s">
        <v>503</v>
      </c>
      <c r="P67" s="26" t="s">
        <v>582</v>
      </c>
    </row>
    <row r="68" spans="1:16" ht="16.899999999999999">
      <c r="A68" s="26" t="s">
        <v>597</v>
      </c>
      <c r="B68" s="27" t="s">
        <v>747</v>
      </c>
      <c r="C68" s="26" t="s">
        <v>748</v>
      </c>
      <c r="D68" s="26" t="s">
        <v>471</v>
      </c>
      <c r="E68" s="26" t="s">
        <v>63</v>
      </c>
      <c r="F68" s="26" t="s">
        <v>472</v>
      </c>
      <c r="G68" s="26" t="s">
        <v>749</v>
      </c>
      <c r="H68" s="26">
        <v>0.5</v>
      </c>
      <c r="I68" s="26" t="s">
        <v>474</v>
      </c>
      <c r="J68" s="26"/>
      <c r="K68" s="28">
        <v>45821.291666666664</v>
      </c>
      <c r="L68" s="26" t="s">
        <v>750</v>
      </c>
      <c r="M68" s="26" t="s">
        <v>487</v>
      </c>
      <c r="N68" s="26"/>
      <c r="O68" s="26" t="s">
        <v>503</v>
      </c>
      <c r="P68" s="26" t="s">
        <v>582</v>
      </c>
    </row>
    <row r="69" spans="1:16" ht="16.899999999999999">
      <c r="A69" s="26" t="s">
        <v>597</v>
      </c>
      <c r="B69" s="27" t="s">
        <v>751</v>
      </c>
      <c r="C69" s="26" t="s">
        <v>752</v>
      </c>
      <c r="D69" s="26" t="s">
        <v>471</v>
      </c>
      <c r="E69" s="26" t="s">
        <v>63</v>
      </c>
      <c r="F69" s="26" t="s">
        <v>472</v>
      </c>
      <c r="G69" s="26" t="s">
        <v>753</v>
      </c>
      <c r="H69" s="26">
        <v>0.5</v>
      </c>
      <c r="I69" s="26" t="s">
        <v>500</v>
      </c>
      <c r="J69" s="26" t="s">
        <v>501</v>
      </c>
      <c r="K69" s="28">
        <v>45835.291666666664</v>
      </c>
      <c r="L69" s="26" t="s">
        <v>754</v>
      </c>
      <c r="M69" s="26" t="s">
        <v>487</v>
      </c>
      <c r="N69" s="26"/>
      <c r="O69" s="26" t="s">
        <v>503</v>
      </c>
      <c r="P69" s="26" t="s">
        <v>661</v>
      </c>
    </row>
    <row r="70" spans="1:16" ht="16.899999999999999">
      <c r="A70" s="26" t="s">
        <v>597</v>
      </c>
      <c r="B70" s="27" t="s">
        <v>755</v>
      </c>
      <c r="C70" s="26" t="s">
        <v>756</v>
      </c>
      <c r="D70" s="26" t="s">
        <v>471</v>
      </c>
      <c r="E70" s="26" t="s">
        <v>63</v>
      </c>
      <c r="F70" s="26" t="s">
        <v>472</v>
      </c>
      <c r="G70" s="26" t="s">
        <v>757</v>
      </c>
      <c r="H70" s="26">
        <v>0.5</v>
      </c>
      <c r="I70" s="26" t="s">
        <v>474</v>
      </c>
      <c r="J70" s="26"/>
      <c r="K70" s="28">
        <v>45765.291666666664</v>
      </c>
      <c r="L70" s="26" t="s">
        <v>530</v>
      </c>
      <c r="M70" s="26" t="s">
        <v>487</v>
      </c>
      <c r="N70" s="26"/>
      <c r="O70" s="26" t="s">
        <v>758</v>
      </c>
      <c r="P70" s="26" t="s">
        <v>46</v>
      </c>
    </row>
    <row r="71" spans="1:16" ht="16.899999999999999">
      <c r="A71" s="26" t="s">
        <v>597</v>
      </c>
      <c r="B71" s="27" t="s">
        <v>759</v>
      </c>
      <c r="C71" s="26" t="s">
        <v>760</v>
      </c>
      <c r="D71" s="26" t="s">
        <v>664</v>
      </c>
      <c r="E71" s="26" t="s">
        <v>63</v>
      </c>
      <c r="F71" s="26" t="s">
        <v>472</v>
      </c>
      <c r="G71" s="26" t="s">
        <v>761</v>
      </c>
      <c r="H71" s="26">
        <v>0.5</v>
      </c>
      <c r="I71" s="26" t="s">
        <v>500</v>
      </c>
      <c r="J71" s="26" t="s">
        <v>507</v>
      </c>
      <c r="K71" s="28">
        <v>45898.291666666664</v>
      </c>
      <c r="L71" s="26" t="s">
        <v>762</v>
      </c>
      <c r="M71" s="26" t="s">
        <v>487</v>
      </c>
      <c r="N71" s="26"/>
      <c r="O71" s="26" t="s">
        <v>758</v>
      </c>
      <c r="P71" s="26" t="s">
        <v>661</v>
      </c>
    </row>
    <row r="72" spans="1:16" ht="16.899999999999999">
      <c r="A72" s="26" t="s">
        <v>468</v>
      </c>
      <c r="B72" s="27" t="s">
        <v>763</v>
      </c>
      <c r="C72" s="26" t="s">
        <v>764</v>
      </c>
      <c r="D72" s="26" t="s">
        <v>585</v>
      </c>
      <c r="E72" s="26" t="s">
        <v>63</v>
      </c>
      <c r="F72" s="26" t="s">
        <v>472</v>
      </c>
      <c r="G72" s="26" t="s">
        <v>765</v>
      </c>
      <c r="H72" s="26">
        <v>1</v>
      </c>
      <c r="I72" s="26" t="s">
        <v>500</v>
      </c>
      <c r="J72" s="26" t="s">
        <v>501</v>
      </c>
      <c r="K72" s="28">
        <v>45366.291666666664</v>
      </c>
      <c r="L72" s="26" t="s">
        <v>766</v>
      </c>
      <c r="M72" s="26" t="s">
        <v>487</v>
      </c>
      <c r="N72" s="26"/>
      <c r="O72" s="26" t="s">
        <v>503</v>
      </c>
      <c r="P72" s="26" t="s">
        <v>478</v>
      </c>
    </row>
    <row r="73" spans="1:16" ht="16.899999999999999">
      <c r="A73" s="26" t="s">
        <v>468</v>
      </c>
      <c r="B73" s="27" t="s">
        <v>767</v>
      </c>
      <c r="C73" s="26" t="s">
        <v>768</v>
      </c>
      <c r="D73" s="26" t="s">
        <v>585</v>
      </c>
      <c r="E73" s="26" t="s">
        <v>63</v>
      </c>
      <c r="F73" s="26" t="s">
        <v>472</v>
      </c>
      <c r="G73" s="26" t="s">
        <v>769</v>
      </c>
      <c r="H73" s="26">
        <v>1</v>
      </c>
      <c r="I73" s="26" t="s">
        <v>500</v>
      </c>
      <c r="J73" s="26" t="s">
        <v>507</v>
      </c>
      <c r="K73" s="28">
        <v>45338.333333333336</v>
      </c>
      <c r="L73" s="26" t="s">
        <v>770</v>
      </c>
      <c r="M73" s="26" t="s">
        <v>487</v>
      </c>
      <c r="N73" s="26"/>
      <c r="O73" s="26" t="s">
        <v>503</v>
      </c>
      <c r="P73" s="26" t="s">
        <v>478</v>
      </c>
    </row>
    <row r="74" spans="1:16" ht="16.899999999999999">
      <c r="A74" s="26" t="s">
        <v>468</v>
      </c>
      <c r="B74" s="27" t="s">
        <v>771</v>
      </c>
      <c r="C74" s="26" t="s">
        <v>772</v>
      </c>
      <c r="D74" s="26" t="s">
        <v>471</v>
      </c>
      <c r="E74" s="26" t="s">
        <v>63</v>
      </c>
      <c r="F74" s="26" t="s">
        <v>472</v>
      </c>
      <c r="G74" s="26" t="s">
        <v>773</v>
      </c>
      <c r="H74" s="26">
        <v>0.5</v>
      </c>
      <c r="I74" s="26" t="s">
        <v>500</v>
      </c>
      <c r="J74" s="26" t="s">
        <v>507</v>
      </c>
      <c r="K74" s="28">
        <v>45919.291666666664</v>
      </c>
      <c r="L74" s="26" t="s">
        <v>774</v>
      </c>
      <c r="M74" s="26" t="s">
        <v>487</v>
      </c>
      <c r="N74" s="26"/>
      <c r="O74" s="26" t="s">
        <v>503</v>
      </c>
      <c r="P74" s="26" t="s">
        <v>478</v>
      </c>
    </row>
    <row r="75" spans="1:16" ht="16.899999999999999">
      <c r="A75" s="26" t="s">
        <v>468</v>
      </c>
      <c r="B75" s="27" t="s">
        <v>775</v>
      </c>
      <c r="C75" s="26" t="s">
        <v>776</v>
      </c>
      <c r="D75" s="26" t="s">
        <v>664</v>
      </c>
      <c r="E75" s="26" t="s">
        <v>63</v>
      </c>
      <c r="F75" s="26" t="s">
        <v>472</v>
      </c>
      <c r="G75" s="26" t="s">
        <v>777</v>
      </c>
      <c r="H75" s="26">
        <v>0.5</v>
      </c>
      <c r="I75" s="26" t="s">
        <v>500</v>
      </c>
      <c r="J75" s="26" t="s">
        <v>507</v>
      </c>
      <c r="K75" s="28">
        <v>45919.291666666664</v>
      </c>
      <c r="L75" s="26" t="s">
        <v>774</v>
      </c>
      <c r="M75" s="26" t="s">
        <v>487</v>
      </c>
      <c r="N75" s="26"/>
      <c r="O75" s="26" t="s">
        <v>503</v>
      </c>
      <c r="P75" s="26" t="s">
        <v>478</v>
      </c>
    </row>
    <row r="76" spans="1:16" ht="16.899999999999999">
      <c r="A76" s="26" t="s">
        <v>468</v>
      </c>
      <c r="B76" s="27" t="s">
        <v>778</v>
      </c>
      <c r="C76" s="26" t="s">
        <v>779</v>
      </c>
      <c r="D76" s="26" t="s">
        <v>471</v>
      </c>
      <c r="E76" s="26" t="s">
        <v>63</v>
      </c>
      <c r="F76" s="26" t="s">
        <v>472</v>
      </c>
      <c r="G76" s="26" t="s">
        <v>780</v>
      </c>
      <c r="H76" s="26">
        <v>0.5</v>
      </c>
      <c r="I76" s="26" t="s">
        <v>500</v>
      </c>
      <c r="J76" s="26" t="s">
        <v>507</v>
      </c>
      <c r="K76" s="28">
        <v>45919.291666666664</v>
      </c>
      <c r="L76" s="26" t="s">
        <v>774</v>
      </c>
      <c r="M76" s="26" t="s">
        <v>487</v>
      </c>
      <c r="N76" s="26"/>
      <c r="O76" s="26" t="s">
        <v>503</v>
      </c>
      <c r="P76" s="26" t="s">
        <v>478</v>
      </c>
    </row>
    <row r="77" spans="1:16" ht="16.899999999999999">
      <c r="A77" s="26" t="s">
        <v>468</v>
      </c>
      <c r="B77" s="27" t="s">
        <v>781</v>
      </c>
      <c r="C77" s="26" t="s">
        <v>782</v>
      </c>
      <c r="D77" s="26" t="s">
        <v>471</v>
      </c>
      <c r="E77" s="26" t="s">
        <v>63</v>
      </c>
      <c r="F77" s="26" t="s">
        <v>472</v>
      </c>
      <c r="G77" s="26" t="s">
        <v>783</v>
      </c>
      <c r="H77" s="26">
        <v>0.5</v>
      </c>
      <c r="I77" s="26" t="s">
        <v>500</v>
      </c>
      <c r="J77" s="26" t="s">
        <v>507</v>
      </c>
      <c r="K77" s="28">
        <v>45919.291666666664</v>
      </c>
      <c r="L77" s="26" t="s">
        <v>774</v>
      </c>
      <c r="M77" s="26" t="s">
        <v>487</v>
      </c>
      <c r="N77" s="26"/>
      <c r="O77" s="26" t="s">
        <v>503</v>
      </c>
      <c r="P77" s="26" t="s">
        <v>478</v>
      </c>
    </row>
    <row r="78" spans="1:16" ht="16.899999999999999">
      <c r="A78" s="26" t="s">
        <v>468</v>
      </c>
      <c r="B78" s="27" t="s">
        <v>784</v>
      </c>
      <c r="C78" s="26" t="s">
        <v>785</v>
      </c>
      <c r="D78" s="26" t="s">
        <v>585</v>
      </c>
      <c r="E78" s="26" t="s">
        <v>63</v>
      </c>
      <c r="F78" s="26" t="s">
        <v>472</v>
      </c>
      <c r="G78" s="26" t="s">
        <v>786</v>
      </c>
      <c r="H78" s="26">
        <v>1</v>
      </c>
      <c r="I78" s="26" t="s">
        <v>500</v>
      </c>
      <c r="J78" s="26" t="s">
        <v>501</v>
      </c>
      <c r="K78" s="28">
        <v>45877.291666666664</v>
      </c>
      <c r="L78" s="26" t="s">
        <v>787</v>
      </c>
      <c r="M78" s="26" t="s">
        <v>487</v>
      </c>
      <c r="N78" s="26"/>
      <c r="O78" s="26" t="s">
        <v>503</v>
      </c>
      <c r="P78" s="26" t="s">
        <v>478</v>
      </c>
    </row>
    <row r="79" spans="1:16" ht="16.899999999999999">
      <c r="A79" s="26" t="s">
        <v>468</v>
      </c>
      <c r="B79" s="27" t="s">
        <v>788</v>
      </c>
      <c r="C79" s="26" t="s">
        <v>789</v>
      </c>
      <c r="D79" s="26" t="s">
        <v>498</v>
      </c>
      <c r="E79" s="26" t="s">
        <v>63</v>
      </c>
      <c r="F79" s="26" t="s">
        <v>472</v>
      </c>
      <c r="G79" s="26" t="s">
        <v>790</v>
      </c>
      <c r="H79" s="26">
        <v>1</v>
      </c>
      <c r="I79" s="26" t="s">
        <v>500</v>
      </c>
      <c r="J79" s="26" t="s">
        <v>507</v>
      </c>
      <c r="K79" s="28">
        <v>45835.291666666664</v>
      </c>
      <c r="L79" s="26" t="s">
        <v>791</v>
      </c>
      <c r="M79" s="26" t="s">
        <v>487</v>
      </c>
      <c r="N79" s="26"/>
      <c r="O79" s="26" t="s">
        <v>503</v>
      </c>
      <c r="P79" s="26" t="s">
        <v>478</v>
      </c>
    </row>
    <row r="80" spans="1:16" ht="16.899999999999999">
      <c r="A80" s="26" t="s">
        <v>468</v>
      </c>
      <c r="B80" s="27" t="s">
        <v>792</v>
      </c>
      <c r="C80" s="26" t="s">
        <v>793</v>
      </c>
      <c r="D80" s="26" t="s">
        <v>498</v>
      </c>
      <c r="E80" s="26" t="s">
        <v>63</v>
      </c>
      <c r="F80" s="26" t="s">
        <v>472</v>
      </c>
      <c r="G80" s="26" t="s">
        <v>794</v>
      </c>
      <c r="H80" s="26">
        <v>1</v>
      </c>
      <c r="I80" s="26" t="s">
        <v>500</v>
      </c>
      <c r="J80" s="26" t="s">
        <v>507</v>
      </c>
      <c r="K80" s="28">
        <v>45835.291666666664</v>
      </c>
      <c r="L80" s="26" t="s">
        <v>795</v>
      </c>
      <c r="M80" s="26" t="s">
        <v>487</v>
      </c>
      <c r="N80" s="26"/>
      <c r="O80" s="26" t="s">
        <v>503</v>
      </c>
      <c r="P80" s="26" t="s">
        <v>478</v>
      </c>
    </row>
    <row r="81" spans="1:16" ht="16.899999999999999">
      <c r="A81" s="26" t="s">
        <v>468</v>
      </c>
      <c r="B81" s="27" t="s">
        <v>796</v>
      </c>
      <c r="C81" s="26" t="s">
        <v>797</v>
      </c>
      <c r="D81" s="26" t="s">
        <v>498</v>
      </c>
      <c r="E81" s="26" t="s">
        <v>63</v>
      </c>
      <c r="F81" s="26" t="s">
        <v>472</v>
      </c>
      <c r="G81" s="26" t="s">
        <v>798</v>
      </c>
      <c r="H81" s="26">
        <v>1</v>
      </c>
      <c r="I81" s="26" t="s">
        <v>500</v>
      </c>
      <c r="J81" s="26" t="s">
        <v>507</v>
      </c>
      <c r="K81" s="28">
        <v>46052.333333333336</v>
      </c>
      <c r="L81" s="26" t="s">
        <v>799</v>
      </c>
      <c r="M81" s="26" t="s">
        <v>476</v>
      </c>
      <c r="N81" s="26"/>
      <c r="O81" s="26" t="s">
        <v>503</v>
      </c>
      <c r="P81" s="26" t="s">
        <v>478</v>
      </c>
    </row>
    <row r="82" spans="1:16" ht="16.899999999999999">
      <c r="A82" s="26" t="s">
        <v>468</v>
      </c>
      <c r="B82" s="27" t="s">
        <v>800</v>
      </c>
      <c r="C82" s="26" t="s">
        <v>801</v>
      </c>
      <c r="D82" s="26" t="s">
        <v>471</v>
      </c>
      <c r="E82" s="26" t="s">
        <v>46</v>
      </c>
      <c r="F82" s="26" t="s">
        <v>472</v>
      </c>
      <c r="G82" s="26" t="s">
        <v>802</v>
      </c>
      <c r="H82" s="26">
        <v>0.5</v>
      </c>
      <c r="I82" s="26" t="s">
        <v>474</v>
      </c>
      <c r="J82" s="26"/>
      <c r="K82" s="28">
        <v>45667.333333333336</v>
      </c>
      <c r="L82" s="26" t="s">
        <v>530</v>
      </c>
      <c r="M82" s="26" t="s">
        <v>487</v>
      </c>
      <c r="N82" s="26"/>
      <c r="O82" s="26" t="s">
        <v>503</v>
      </c>
      <c r="P82" s="26" t="s">
        <v>478</v>
      </c>
    </row>
    <row r="83" spans="1:16" ht="16.899999999999999">
      <c r="A83" s="26" t="s">
        <v>468</v>
      </c>
      <c r="B83" s="27" t="s">
        <v>803</v>
      </c>
      <c r="C83" s="26" t="s">
        <v>804</v>
      </c>
      <c r="D83" s="26" t="s">
        <v>471</v>
      </c>
      <c r="E83" s="26" t="s">
        <v>46</v>
      </c>
      <c r="F83" s="26" t="s">
        <v>472</v>
      </c>
      <c r="G83" s="26" t="s">
        <v>805</v>
      </c>
      <c r="H83" s="26">
        <v>0.5</v>
      </c>
      <c r="I83" s="26" t="s">
        <v>474</v>
      </c>
      <c r="J83" s="26"/>
      <c r="K83" s="28">
        <v>45667.333333333336</v>
      </c>
      <c r="L83" s="26" t="s">
        <v>530</v>
      </c>
      <c r="M83" s="26" t="s">
        <v>487</v>
      </c>
      <c r="N83" s="26"/>
      <c r="O83" s="26" t="s">
        <v>503</v>
      </c>
      <c r="P83" s="26" t="s">
        <v>478</v>
      </c>
    </row>
    <row r="84" spans="1:16" ht="16.899999999999999">
      <c r="A84" s="26" t="s">
        <v>468</v>
      </c>
      <c r="B84" s="27" t="s">
        <v>806</v>
      </c>
      <c r="C84" s="26" t="s">
        <v>807</v>
      </c>
      <c r="D84" s="26" t="s">
        <v>498</v>
      </c>
      <c r="E84" s="26" t="s">
        <v>63</v>
      </c>
      <c r="F84" s="26" t="s">
        <v>472</v>
      </c>
      <c r="G84" s="26" t="s">
        <v>808</v>
      </c>
      <c r="H84" s="26">
        <v>1</v>
      </c>
      <c r="I84" s="26" t="s">
        <v>500</v>
      </c>
      <c r="J84" s="26" t="s">
        <v>501</v>
      </c>
      <c r="K84" s="28">
        <v>45541.291666666664</v>
      </c>
      <c r="L84" s="26" t="s">
        <v>809</v>
      </c>
      <c r="M84" s="26" t="s">
        <v>487</v>
      </c>
      <c r="N84" s="26"/>
      <c r="O84" s="26" t="s">
        <v>488</v>
      </c>
      <c r="P84" s="26"/>
    </row>
    <row r="85" spans="1:16" ht="16.899999999999999">
      <c r="A85" s="26" t="s">
        <v>468</v>
      </c>
      <c r="B85" s="27" t="s">
        <v>810</v>
      </c>
      <c r="C85" s="26" t="s">
        <v>811</v>
      </c>
      <c r="D85" s="26" t="s">
        <v>498</v>
      </c>
      <c r="E85" s="26" t="s">
        <v>63</v>
      </c>
      <c r="F85" s="26" t="s">
        <v>472</v>
      </c>
      <c r="G85" s="26" t="s">
        <v>812</v>
      </c>
      <c r="H85" s="26">
        <v>1</v>
      </c>
      <c r="I85" s="26" t="s">
        <v>500</v>
      </c>
      <c r="J85" s="26" t="s">
        <v>507</v>
      </c>
      <c r="K85" s="28">
        <v>45898.291666666664</v>
      </c>
      <c r="L85" s="26" t="s">
        <v>813</v>
      </c>
      <c r="M85" s="26" t="s">
        <v>487</v>
      </c>
      <c r="N85" s="26"/>
      <c r="O85" s="26" t="s">
        <v>503</v>
      </c>
      <c r="P85" s="26" t="s">
        <v>478</v>
      </c>
    </row>
    <row r="86" spans="1:16" ht="16.899999999999999">
      <c r="A86" s="26" t="s">
        <v>468</v>
      </c>
      <c r="B86" s="27" t="s">
        <v>814</v>
      </c>
      <c r="C86" s="26" t="s">
        <v>815</v>
      </c>
      <c r="D86" s="26" t="s">
        <v>498</v>
      </c>
      <c r="E86" s="26" t="s">
        <v>63</v>
      </c>
      <c r="F86" s="26" t="s">
        <v>472</v>
      </c>
      <c r="G86" s="26" t="s">
        <v>816</v>
      </c>
      <c r="H86" s="26">
        <v>1</v>
      </c>
      <c r="I86" s="26" t="s">
        <v>500</v>
      </c>
      <c r="J86" s="26" t="s">
        <v>507</v>
      </c>
      <c r="K86" s="28">
        <v>45982.333333333336</v>
      </c>
      <c r="L86" s="26" t="s">
        <v>817</v>
      </c>
      <c r="M86" s="26" t="s">
        <v>476</v>
      </c>
      <c r="N86" s="26"/>
      <c r="O86" s="26" t="s">
        <v>503</v>
      </c>
      <c r="P86" s="26" t="s">
        <v>478</v>
      </c>
    </row>
    <row r="87" spans="1:16" ht="16.899999999999999">
      <c r="A87" s="26" t="s">
        <v>468</v>
      </c>
      <c r="B87" s="27" t="s">
        <v>818</v>
      </c>
      <c r="C87" s="26" t="s">
        <v>819</v>
      </c>
      <c r="D87" s="26" t="s">
        <v>471</v>
      </c>
      <c r="E87" s="26" t="s">
        <v>63</v>
      </c>
      <c r="F87" s="26" t="s">
        <v>472</v>
      </c>
      <c r="G87" s="26" t="s">
        <v>820</v>
      </c>
      <c r="H87" s="26">
        <v>0.5</v>
      </c>
      <c r="I87" s="26" t="s">
        <v>500</v>
      </c>
      <c r="J87" s="26" t="s">
        <v>507</v>
      </c>
      <c r="K87" s="28">
        <v>45863.291666666664</v>
      </c>
      <c r="L87" s="26" t="s">
        <v>821</v>
      </c>
      <c r="M87" s="26" t="s">
        <v>487</v>
      </c>
      <c r="N87" s="28">
        <v>46022.333333333336</v>
      </c>
      <c r="O87" s="26" t="s">
        <v>822</v>
      </c>
      <c r="P87" s="26" t="s">
        <v>46</v>
      </c>
    </row>
    <row r="88" spans="1:16" ht="16.899999999999999">
      <c r="A88" s="26" t="s">
        <v>468</v>
      </c>
      <c r="B88" s="27" t="s">
        <v>823</v>
      </c>
      <c r="C88" s="26" t="s">
        <v>824</v>
      </c>
      <c r="D88" s="26" t="s">
        <v>471</v>
      </c>
      <c r="E88" s="26" t="s">
        <v>63</v>
      </c>
      <c r="F88" s="26" t="s">
        <v>472</v>
      </c>
      <c r="G88" s="26" t="s">
        <v>825</v>
      </c>
      <c r="H88" s="26">
        <v>0.5</v>
      </c>
      <c r="I88" s="26" t="s">
        <v>500</v>
      </c>
      <c r="J88" s="26" t="s">
        <v>507</v>
      </c>
      <c r="K88" s="28">
        <v>45877.291666666664</v>
      </c>
      <c r="L88" s="26" t="s">
        <v>821</v>
      </c>
      <c r="M88" s="26" t="s">
        <v>487</v>
      </c>
      <c r="N88" s="28">
        <v>46022.333333333336</v>
      </c>
      <c r="O88" s="26" t="s">
        <v>503</v>
      </c>
      <c r="P88" s="26" t="s">
        <v>478</v>
      </c>
    </row>
    <row r="89" spans="1:16" ht="16.899999999999999">
      <c r="A89" s="26" t="s">
        <v>482</v>
      </c>
      <c r="B89" s="27" t="s">
        <v>826</v>
      </c>
      <c r="C89" s="26" t="s">
        <v>827</v>
      </c>
      <c r="D89" s="26" t="s">
        <v>498</v>
      </c>
      <c r="E89" s="26" t="s">
        <v>63</v>
      </c>
      <c r="F89" s="26" t="s">
        <v>472</v>
      </c>
      <c r="G89" s="26" t="s">
        <v>828</v>
      </c>
      <c r="H89" s="26">
        <v>1</v>
      </c>
      <c r="I89" s="26" t="s">
        <v>500</v>
      </c>
      <c r="J89" s="26" t="s">
        <v>507</v>
      </c>
      <c r="K89" s="28">
        <v>45562.291666666664</v>
      </c>
      <c r="L89" s="26" t="s">
        <v>829</v>
      </c>
      <c r="M89" s="26" t="s">
        <v>487</v>
      </c>
      <c r="N89" s="26"/>
      <c r="O89" s="26" t="s">
        <v>503</v>
      </c>
      <c r="P89" s="26" t="s">
        <v>478</v>
      </c>
    </row>
    <row r="90" spans="1:16" ht="16.899999999999999">
      <c r="A90" s="26" t="s">
        <v>482</v>
      </c>
      <c r="B90" s="27" t="s">
        <v>830</v>
      </c>
      <c r="C90" s="26" t="s">
        <v>831</v>
      </c>
      <c r="D90" s="26" t="s">
        <v>471</v>
      </c>
      <c r="E90" s="26" t="s">
        <v>46</v>
      </c>
      <c r="F90" s="26" t="s">
        <v>472</v>
      </c>
      <c r="G90" s="26" t="s">
        <v>832</v>
      </c>
      <c r="H90" s="26">
        <v>0.5</v>
      </c>
      <c r="I90" s="26" t="s">
        <v>500</v>
      </c>
      <c r="J90" s="26" t="s">
        <v>507</v>
      </c>
      <c r="K90" s="28">
        <v>45492.291666666664</v>
      </c>
      <c r="L90" s="26" t="s">
        <v>833</v>
      </c>
      <c r="M90" s="26" t="s">
        <v>487</v>
      </c>
      <c r="N90" s="26"/>
      <c r="O90" s="26" t="s">
        <v>488</v>
      </c>
      <c r="P90" s="26" t="s">
        <v>46</v>
      </c>
    </row>
    <row r="91" spans="1:16" ht="16.899999999999999">
      <c r="A91" s="26" t="s">
        <v>482</v>
      </c>
      <c r="B91" s="27" t="s">
        <v>834</v>
      </c>
      <c r="C91" s="26" t="s">
        <v>835</v>
      </c>
      <c r="D91" s="26" t="s">
        <v>498</v>
      </c>
      <c r="E91" s="26" t="s">
        <v>63</v>
      </c>
      <c r="F91" s="26" t="s">
        <v>472</v>
      </c>
      <c r="G91" s="26" t="s">
        <v>836</v>
      </c>
      <c r="H91" s="26">
        <v>1</v>
      </c>
      <c r="I91" s="26" t="s">
        <v>500</v>
      </c>
      <c r="J91" s="26" t="s">
        <v>501</v>
      </c>
      <c r="K91" s="28">
        <v>45646.333333333336</v>
      </c>
      <c r="L91" s="26" t="s">
        <v>837</v>
      </c>
      <c r="M91" s="26" t="s">
        <v>487</v>
      </c>
      <c r="N91" s="26"/>
      <c r="O91" s="26" t="s">
        <v>503</v>
      </c>
      <c r="P91" s="26" t="s">
        <v>478</v>
      </c>
    </row>
    <row r="92" spans="1:16" ht="16.899999999999999">
      <c r="A92" s="26" t="s">
        <v>482</v>
      </c>
      <c r="B92" s="27" t="s">
        <v>838</v>
      </c>
      <c r="C92" s="26" t="s">
        <v>839</v>
      </c>
      <c r="D92" s="26" t="s">
        <v>471</v>
      </c>
      <c r="E92" s="26" t="s">
        <v>64</v>
      </c>
      <c r="F92" s="26" t="s">
        <v>511</v>
      </c>
      <c r="G92" s="26" t="s">
        <v>840</v>
      </c>
      <c r="H92" s="26">
        <v>0.5</v>
      </c>
      <c r="I92" s="26" t="s">
        <v>500</v>
      </c>
      <c r="J92" s="26" t="s">
        <v>501</v>
      </c>
      <c r="K92" s="28">
        <v>45695.333333333336</v>
      </c>
      <c r="L92" s="26" t="s">
        <v>841</v>
      </c>
      <c r="M92" s="26" t="s">
        <v>487</v>
      </c>
      <c r="N92" s="26"/>
      <c r="O92" s="26" t="s">
        <v>503</v>
      </c>
      <c r="P92" s="26" t="s">
        <v>478</v>
      </c>
    </row>
    <row r="93" spans="1:16" ht="16.899999999999999">
      <c r="A93" s="26" t="s">
        <v>482</v>
      </c>
      <c r="B93" s="27" t="s">
        <v>842</v>
      </c>
      <c r="C93" s="26" t="s">
        <v>843</v>
      </c>
      <c r="D93" s="26" t="s">
        <v>471</v>
      </c>
      <c r="E93" s="26" t="s">
        <v>46</v>
      </c>
      <c r="F93" s="26" t="s">
        <v>472</v>
      </c>
      <c r="G93" s="26" t="s">
        <v>844</v>
      </c>
      <c r="H93" s="26">
        <v>0.5</v>
      </c>
      <c r="I93" s="26" t="s">
        <v>500</v>
      </c>
      <c r="J93" s="26" t="s">
        <v>501</v>
      </c>
      <c r="K93" s="28">
        <v>45841.291666666664</v>
      </c>
      <c r="L93" s="26" t="s">
        <v>845</v>
      </c>
      <c r="M93" s="26" t="s">
        <v>487</v>
      </c>
      <c r="N93" s="26"/>
      <c r="O93" s="26" t="s">
        <v>503</v>
      </c>
      <c r="P93" s="26" t="s">
        <v>582</v>
      </c>
    </row>
    <row r="94" spans="1:16" ht="16.899999999999999">
      <c r="A94" s="26" t="s">
        <v>482</v>
      </c>
      <c r="B94" s="27" t="s">
        <v>846</v>
      </c>
      <c r="C94" s="26" t="s">
        <v>847</v>
      </c>
      <c r="D94" s="26" t="s">
        <v>471</v>
      </c>
      <c r="E94" s="26" t="s">
        <v>46</v>
      </c>
      <c r="F94" s="26" t="s">
        <v>472</v>
      </c>
      <c r="G94" s="26" t="s">
        <v>848</v>
      </c>
      <c r="H94" s="26">
        <v>0.5</v>
      </c>
      <c r="I94" s="26" t="s">
        <v>500</v>
      </c>
      <c r="J94" s="26" t="s">
        <v>501</v>
      </c>
      <c r="K94" s="28">
        <v>45737.291666666664</v>
      </c>
      <c r="L94" s="26" t="s">
        <v>849</v>
      </c>
      <c r="M94" s="26" t="s">
        <v>487</v>
      </c>
      <c r="N94" s="26"/>
      <c r="O94" s="26" t="s">
        <v>488</v>
      </c>
      <c r="P94" s="26" t="s">
        <v>46</v>
      </c>
    </row>
    <row r="95" spans="1:16" ht="16.899999999999999">
      <c r="A95" s="26" t="s">
        <v>482</v>
      </c>
      <c r="B95" s="27" t="s">
        <v>850</v>
      </c>
      <c r="C95" s="26" t="s">
        <v>851</v>
      </c>
      <c r="D95" s="26" t="s">
        <v>852</v>
      </c>
      <c r="E95" s="26" t="s">
        <v>46</v>
      </c>
      <c r="F95" s="26" t="s">
        <v>472</v>
      </c>
      <c r="G95" s="26" t="s">
        <v>853</v>
      </c>
      <c r="H95" s="26">
        <v>0.5</v>
      </c>
      <c r="I95" s="26" t="s">
        <v>500</v>
      </c>
      <c r="J95" s="26" t="s">
        <v>501</v>
      </c>
      <c r="K95" s="28">
        <v>45793.291666666664</v>
      </c>
      <c r="L95" s="26" t="s">
        <v>854</v>
      </c>
      <c r="M95" s="26" t="s">
        <v>487</v>
      </c>
      <c r="N95" s="28">
        <v>46022.333333333336</v>
      </c>
      <c r="O95" s="26" t="s">
        <v>488</v>
      </c>
      <c r="P95" s="26" t="s">
        <v>46</v>
      </c>
    </row>
    <row r="96" spans="1:16" ht="16.899999999999999">
      <c r="A96" s="26" t="s">
        <v>482</v>
      </c>
      <c r="B96" s="27" t="s">
        <v>855</v>
      </c>
      <c r="C96" s="26" t="s">
        <v>856</v>
      </c>
      <c r="D96" s="26" t="s">
        <v>471</v>
      </c>
      <c r="E96" s="26" t="s">
        <v>64</v>
      </c>
      <c r="F96" s="26" t="s">
        <v>511</v>
      </c>
      <c r="G96" s="26" t="s">
        <v>857</v>
      </c>
      <c r="H96" s="26">
        <v>0.5</v>
      </c>
      <c r="I96" s="26" t="s">
        <v>500</v>
      </c>
      <c r="J96" s="26" t="s">
        <v>507</v>
      </c>
      <c r="K96" s="28">
        <v>45968.333333333336</v>
      </c>
      <c r="L96" s="26" t="s">
        <v>858</v>
      </c>
      <c r="M96" s="26" t="s">
        <v>487</v>
      </c>
      <c r="N96" s="26"/>
      <c r="O96" s="26" t="s">
        <v>503</v>
      </c>
      <c r="P96" s="26" t="s">
        <v>478</v>
      </c>
    </row>
    <row r="97" spans="1:16" ht="16.899999999999999">
      <c r="A97" s="26" t="s">
        <v>482</v>
      </c>
      <c r="B97" s="27" t="s">
        <v>859</v>
      </c>
      <c r="C97" s="26" t="s">
        <v>860</v>
      </c>
      <c r="D97" s="26" t="s">
        <v>852</v>
      </c>
      <c r="E97" s="26" t="s">
        <v>46</v>
      </c>
      <c r="F97" s="26" t="s">
        <v>472</v>
      </c>
      <c r="G97" s="26" t="s">
        <v>861</v>
      </c>
      <c r="H97" s="26">
        <v>0.5</v>
      </c>
      <c r="I97" s="26" t="s">
        <v>500</v>
      </c>
      <c r="J97" s="26" t="s">
        <v>507</v>
      </c>
      <c r="K97" s="28">
        <v>45674.333333333336</v>
      </c>
      <c r="L97" s="26" t="s">
        <v>854</v>
      </c>
      <c r="M97" s="26" t="s">
        <v>487</v>
      </c>
      <c r="N97" s="28">
        <v>46022.333333333336</v>
      </c>
      <c r="O97" s="26" t="s">
        <v>488</v>
      </c>
      <c r="P97" s="26" t="s">
        <v>46</v>
      </c>
    </row>
    <row r="98" spans="1:16" ht="16.899999999999999">
      <c r="A98" s="26" t="s">
        <v>482</v>
      </c>
      <c r="B98" s="27" t="s">
        <v>862</v>
      </c>
      <c r="C98" s="26" t="s">
        <v>863</v>
      </c>
      <c r="D98" s="26" t="s">
        <v>864</v>
      </c>
      <c r="E98" s="26" t="s">
        <v>46</v>
      </c>
      <c r="F98" s="26" t="s">
        <v>472</v>
      </c>
      <c r="G98" s="26" t="s">
        <v>865</v>
      </c>
      <c r="H98" s="26">
        <v>0.5</v>
      </c>
      <c r="I98" s="26" t="s">
        <v>500</v>
      </c>
      <c r="J98" s="26" t="s">
        <v>501</v>
      </c>
      <c r="K98" s="28">
        <v>45891.291666666664</v>
      </c>
      <c r="L98" s="26" t="s">
        <v>866</v>
      </c>
      <c r="M98" s="26" t="s">
        <v>487</v>
      </c>
      <c r="N98" s="26"/>
      <c r="O98" s="26" t="s">
        <v>488</v>
      </c>
      <c r="P98" s="26"/>
    </row>
    <row r="99" spans="1:16" ht="16.899999999999999">
      <c r="A99" s="26" t="s">
        <v>482</v>
      </c>
      <c r="B99" s="27" t="s">
        <v>867</v>
      </c>
      <c r="C99" s="26" t="s">
        <v>868</v>
      </c>
      <c r="D99" s="26" t="s">
        <v>864</v>
      </c>
      <c r="E99" s="26" t="s">
        <v>46</v>
      </c>
      <c r="F99" s="26" t="s">
        <v>472</v>
      </c>
      <c r="G99" s="26" t="s">
        <v>869</v>
      </c>
      <c r="H99" s="26">
        <v>0.5</v>
      </c>
      <c r="I99" s="26" t="s">
        <v>500</v>
      </c>
      <c r="J99" s="26" t="s">
        <v>507</v>
      </c>
      <c r="K99" s="28">
        <v>45961.291666666664</v>
      </c>
      <c r="L99" s="26" t="s">
        <v>870</v>
      </c>
      <c r="M99" s="26" t="s">
        <v>487</v>
      </c>
      <c r="N99" s="26"/>
      <c r="O99" s="26" t="s">
        <v>503</v>
      </c>
      <c r="P99" s="26" t="s">
        <v>661</v>
      </c>
    </row>
    <row r="100" spans="1:16" ht="16.899999999999999">
      <c r="A100" s="26" t="s">
        <v>482</v>
      </c>
      <c r="B100" s="27" t="s">
        <v>871</v>
      </c>
      <c r="C100" s="26" t="s">
        <v>872</v>
      </c>
      <c r="D100" s="26" t="s">
        <v>471</v>
      </c>
      <c r="E100" s="26" t="s">
        <v>46</v>
      </c>
      <c r="F100" s="26" t="s">
        <v>472</v>
      </c>
      <c r="G100" s="26" t="s">
        <v>873</v>
      </c>
      <c r="H100" s="26">
        <v>0.5</v>
      </c>
      <c r="I100" s="26" t="s">
        <v>500</v>
      </c>
      <c r="J100" s="26" t="s">
        <v>501</v>
      </c>
      <c r="K100" s="28">
        <v>45793.291666666664</v>
      </c>
      <c r="L100" s="26" t="s">
        <v>874</v>
      </c>
      <c r="M100" s="26" t="s">
        <v>487</v>
      </c>
      <c r="N100" s="26"/>
      <c r="O100" s="26" t="s">
        <v>822</v>
      </c>
      <c r="P100" s="26" t="s">
        <v>661</v>
      </c>
    </row>
    <row r="101" spans="1:16" ht="16.899999999999999">
      <c r="A101" s="26" t="s">
        <v>482</v>
      </c>
      <c r="B101" s="27" t="s">
        <v>875</v>
      </c>
      <c r="C101" s="26" t="s">
        <v>876</v>
      </c>
      <c r="D101" s="26" t="s">
        <v>471</v>
      </c>
      <c r="E101" s="26" t="s">
        <v>46</v>
      </c>
      <c r="F101" s="26" t="s">
        <v>472</v>
      </c>
      <c r="G101" s="26" t="s">
        <v>877</v>
      </c>
      <c r="H101" s="26">
        <v>0.5</v>
      </c>
      <c r="I101" s="26" t="s">
        <v>500</v>
      </c>
      <c r="J101" s="26" t="s">
        <v>501</v>
      </c>
      <c r="K101" s="28">
        <v>45758.291666666664</v>
      </c>
      <c r="L101" s="26" t="s">
        <v>878</v>
      </c>
      <c r="M101" s="26" t="s">
        <v>487</v>
      </c>
      <c r="N101" s="26"/>
      <c r="O101" s="26" t="s">
        <v>503</v>
      </c>
      <c r="P101" s="26" t="s">
        <v>582</v>
      </c>
    </row>
    <row r="102" spans="1:16" ht="16.899999999999999">
      <c r="A102" s="26" t="s">
        <v>482</v>
      </c>
      <c r="B102" s="27" t="s">
        <v>879</v>
      </c>
      <c r="C102" s="26" t="s">
        <v>880</v>
      </c>
      <c r="D102" s="26" t="s">
        <v>471</v>
      </c>
      <c r="E102" s="26" t="s">
        <v>46</v>
      </c>
      <c r="F102" s="26" t="s">
        <v>472</v>
      </c>
      <c r="G102" s="26" t="s">
        <v>881</v>
      </c>
      <c r="H102" s="26">
        <v>0.5</v>
      </c>
      <c r="I102" s="26" t="s">
        <v>500</v>
      </c>
      <c r="J102" s="26" t="s">
        <v>501</v>
      </c>
      <c r="K102" s="28">
        <v>45968.333333333336</v>
      </c>
      <c r="L102" s="26" t="s">
        <v>882</v>
      </c>
      <c r="M102" s="26" t="s">
        <v>487</v>
      </c>
      <c r="N102" s="26"/>
      <c r="O102" s="26" t="s">
        <v>503</v>
      </c>
      <c r="P102" s="26" t="s">
        <v>582</v>
      </c>
    </row>
    <row r="103" spans="1:16" ht="16.899999999999999">
      <c r="A103" s="26" t="s">
        <v>482</v>
      </c>
      <c r="B103" s="27" t="s">
        <v>883</v>
      </c>
      <c r="C103" s="26" t="s">
        <v>884</v>
      </c>
      <c r="D103" s="26" t="s">
        <v>885</v>
      </c>
      <c r="E103" s="26" t="s">
        <v>46</v>
      </c>
      <c r="F103" s="26" t="s">
        <v>472</v>
      </c>
      <c r="G103" s="26" t="s">
        <v>886</v>
      </c>
      <c r="H103" s="26">
        <v>0.5</v>
      </c>
      <c r="I103" s="26" t="s">
        <v>500</v>
      </c>
      <c r="J103" s="26" t="s">
        <v>507</v>
      </c>
      <c r="K103" s="28">
        <v>45926.291666666664</v>
      </c>
      <c r="L103" s="26" t="s">
        <v>887</v>
      </c>
      <c r="M103" s="26" t="s">
        <v>487</v>
      </c>
      <c r="N103" s="26"/>
      <c r="O103" s="26" t="s">
        <v>488</v>
      </c>
      <c r="P103" s="26" t="s">
        <v>46</v>
      </c>
    </row>
    <row r="104" spans="1:16" ht="16.899999999999999">
      <c r="A104" s="26" t="s">
        <v>482</v>
      </c>
      <c r="B104" s="27" t="s">
        <v>888</v>
      </c>
      <c r="C104" s="26" t="s">
        <v>889</v>
      </c>
      <c r="D104" s="26" t="s">
        <v>864</v>
      </c>
      <c r="E104" s="26" t="s">
        <v>46</v>
      </c>
      <c r="F104" s="26" t="s">
        <v>472</v>
      </c>
      <c r="G104" s="26" t="s">
        <v>890</v>
      </c>
      <c r="H104" s="26">
        <v>0.5</v>
      </c>
      <c r="I104" s="26" t="s">
        <v>500</v>
      </c>
      <c r="J104" s="26" t="s">
        <v>501</v>
      </c>
      <c r="K104" s="28">
        <v>45891.291666666664</v>
      </c>
      <c r="L104" s="26" t="s">
        <v>891</v>
      </c>
      <c r="M104" s="26" t="s">
        <v>487</v>
      </c>
      <c r="N104" s="26"/>
      <c r="O104" s="26" t="s">
        <v>503</v>
      </c>
      <c r="P104" s="26" t="s">
        <v>582</v>
      </c>
    </row>
    <row r="105" spans="1:16" ht="16.899999999999999">
      <c r="A105" s="26" t="s">
        <v>482</v>
      </c>
      <c r="B105" s="27" t="s">
        <v>892</v>
      </c>
      <c r="C105" s="26" t="s">
        <v>893</v>
      </c>
      <c r="D105" s="26" t="s">
        <v>524</v>
      </c>
      <c r="E105" s="26" t="s">
        <v>46</v>
      </c>
      <c r="F105" s="26" t="s">
        <v>472</v>
      </c>
      <c r="G105" s="26" t="s">
        <v>894</v>
      </c>
      <c r="H105" s="26">
        <v>0.5</v>
      </c>
      <c r="I105" s="26" t="s">
        <v>500</v>
      </c>
      <c r="J105" s="26" t="s">
        <v>507</v>
      </c>
      <c r="K105" s="28">
        <v>45891.291666666664</v>
      </c>
      <c r="L105" s="26" t="s">
        <v>895</v>
      </c>
      <c r="M105" s="26" t="s">
        <v>487</v>
      </c>
      <c r="N105" s="26"/>
      <c r="O105" s="26" t="s">
        <v>503</v>
      </c>
      <c r="P105" s="26" t="s">
        <v>478</v>
      </c>
    </row>
    <row r="106" spans="1:16" ht="16.899999999999999">
      <c r="A106" s="26" t="s">
        <v>482</v>
      </c>
      <c r="B106" s="27" t="s">
        <v>896</v>
      </c>
      <c r="C106" s="26" t="s">
        <v>897</v>
      </c>
      <c r="D106" s="26" t="s">
        <v>585</v>
      </c>
      <c r="E106" s="26" t="s">
        <v>63</v>
      </c>
      <c r="F106" s="26" t="s">
        <v>472</v>
      </c>
      <c r="G106" s="26" t="s">
        <v>898</v>
      </c>
      <c r="H106" s="26">
        <v>1</v>
      </c>
      <c r="I106" s="26" t="s">
        <v>500</v>
      </c>
      <c r="J106" s="26" t="s">
        <v>507</v>
      </c>
      <c r="K106" s="28">
        <v>46010.333333333336</v>
      </c>
      <c r="L106" s="26" t="s">
        <v>899</v>
      </c>
      <c r="M106" s="26" t="s">
        <v>476</v>
      </c>
      <c r="N106" s="26"/>
      <c r="O106" s="26" t="s">
        <v>503</v>
      </c>
      <c r="P106" s="26" t="s">
        <v>478</v>
      </c>
    </row>
    <row r="107" spans="1:16" ht="16.899999999999999">
      <c r="A107" s="26" t="s">
        <v>482</v>
      </c>
      <c r="B107" s="27" t="s">
        <v>900</v>
      </c>
      <c r="C107" s="26" t="s">
        <v>901</v>
      </c>
      <c r="D107" s="26" t="s">
        <v>498</v>
      </c>
      <c r="E107" s="26" t="s">
        <v>63</v>
      </c>
      <c r="F107" s="26" t="s">
        <v>472</v>
      </c>
      <c r="G107" s="26" t="s">
        <v>902</v>
      </c>
      <c r="H107" s="26">
        <v>1</v>
      </c>
      <c r="I107" s="26" t="s">
        <v>500</v>
      </c>
      <c r="J107" s="26" t="s">
        <v>507</v>
      </c>
      <c r="K107" s="28">
        <v>45940.291666666664</v>
      </c>
      <c r="L107" s="26" t="s">
        <v>903</v>
      </c>
      <c r="M107" s="26" t="s">
        <v>487</v>
      </c>
      <c r="N107" s="26"/>
      <c r="O107" s="26" t="s">
        <v>503</v>
      </c>
      <c r="P107" s="26" t="s">
        <v>478</v>
      </c>
    </row>
    <row r="108" spans="1:16" ht="16.899999999999999">
      <c r="A108" s="26" t="s">
        <v>482</v>
      </c>
      <c r="B108" s="27" t="s">
        <v>904</v>
      </c>
      <c r="C108" s="26" t="s">
        <v>905</v>
      </c>
      <c r="D108" s="26" t="s">
        <v>471</v>
      </c>
      <c r="E108" s="26" t="s">
        <v>63</v>
      </c>
      <c r="F108" s="26" t="s">
        <v>472</v>
      </c>
      <c r="G108" s="26" t="s">
        <v>906</v>
      </c>
      <c r="H108" s="26">
        <v>0.5</v>
      </c>
      <c r="I108" s="26" t="s">
        <v>500</v>
      </c>
      <c r="J108" s="26" t="s">
        <v>507</v>
      </c>
      <c r="K108" s="28">
        <v>45779.291666666664</v>
      </c>
      <c r="L108" s="26" t="s">
        <v>821</v>
      </c>
      <c r="M108" s="26" t="s">
        <v>487</v>
      </c>
      <c r="N108" s="28">
        <v>46022.333333333336</v>
      </c>
      <c r="O108" s="26" t="s">
        <v>503</v>
      </c>
      <c r="P108" s="26" t="s">
        <v>661</v>
      </c>
    </row>
    <row r="109" spans="1:16" ht="16.899999999999999">
      <c r="A109" s="26" t="s">
        <v>468</v>
      </c>
      <c r="B109" s="27" t="s">
        <v>907</v>
      </c>
      <c r="C109" s="26" t="s">
        <v>908</v>
      </c>
      <c r="D109" s="26" t="s">
        <v>498</v>
      </c>
      <c r="E109" s="26" t="s">
        <v>63</v>
      </c>
      <c r="F109" s="26" t="s">
        <v>472</v>
      </c>
      <c r="G109" s="26" t="s">
        <v>909</v>
      </c>
      <c r="H109" s="26">
        <v>1</v>
      </c>
      <c r="I109" s="26" t="s">
        <v>500</v>
      </c>
      <c r="J109" s="26" t="s">
        <v>501</v>
      </c>
      <c r="K109" s="28">
        <v>45751.291666666664</v>
      </c>
      <c r="L109" s="26" t="s">
        <v>910</v>
      </c>
      <c r="M109" s="26" t="s">
        <v>487</v>
      </c>
      <c r="N109" s="26"/>
      <c r="O109" s="26" t="s">
        <v>503</v>
      </c>
      <c r="P109" s="26" t="s">
        <v>478</v>
      </c>
    </row>
    <row r="110" spans="1:16" ht="16.899999999999999">
      <c r="A110" s="26" t="s">
        <v>495</v>
      </c>
      <c r="B110" s="27" t="s">
        <v>911</v>
      </c>
      <c r="C110" s="26" t="s">
        <v>912</v>
      </c>
      <c r="D110" s="26" t="s">
        <v>590</v>
      </c>
      <c r="E110" s="26" t="s">
        <v>63</v>
      </c>
      <c r="F110" s="26" t="s">
        <v>472</v>
      </c>
      <c r="G110" s="26" t="s">
        <v>913</v>
      </c>
      <c r="H110" s="26">
        <v>1</v>
      </c>
      <c r="I110" s="26" t="s">
        <v>500</v>
      </c>
      <c r="J110" s="26" t="s">
        <v>501</v>
      </c>
      <c r="K110" s="28">
        <v>45863.291666666664</v>
      </c>
      <c r="L110" s="26" t="s">
        <v>914</v>
      </c>
      <c r="M110" s="26" t="s">
        <v>487</v>
      </c>
      <c r="N110" s="26"/>
      <c r="O110" s="26" t="s">
        <v>503</v>
      </c>
      <c r="P110" s="26" t="s">
        <v>478</v>
      </c>
    </row>
    <row r="111" spans="1:16" ht="16.899999999999999">
      <c r="A111" s="26" t="s">
        <v>468</v>
      </c>
      <c r="B111" s="27" t="s">
        <v>915</v>
      </c>
      <c r="C111" s="26" t="s">
        <v>916</v>
      </c>
      <c r="D111" s="26" t="s">
        <v>498</v>
      </c>
      <c r="E111" s="26" t="s">
        <v>63</v>
      </c>
      <c r="F111" s="26" t="s">
        <v>472</v>
      </c>
      <c r="G111" s="26" t="s">
        <v>917</v>
      </c>
      <c r="H111" s="26">
        <v>1</v>
      </c>
      <c r="I111" s="26" t="s">
        <v>500</v>
      </c>
      <c r="J111" s="26" t="s">
        <v>501</v>
      </c>
      <c r="K111" s="28">
        <v>45520.291666666664</v>
      </c>
      <c r="L111" s="26" t="s">
        <v>918</v>
      </c>
      <c r="M111" s="26" t="s">
        <v>487</v>
      </c>
      <c r="N111" s="26"/>
      <c r="O111" s="26" t="s">
        <v>503</v>
      </c>
      <c r="P111" s="26" t="s">
        <v>478</v>
      </c>
    </row>
    <row r="112" spans="1:16" ht="16.899999999999999">
      <c r="A112" s="26" t="s">
        <v>468</v>
      </c>
      <c r="B112" s="27" t="s">
        <v>919</v>
      </c>
      <c r="C112" s="26" t="s">
        <v>920</v>
      </c>
      <c r="D112" s="26" t="s">
        <v>498</v>
      </c>
      <c r="E112" s="26" t="s">
        <v>63</v>
      </c>
      <c r="F112" s="26" t="s">
        <v>472</v>
      </c>
      <c r="G112" s="26" t="s">
        <v>921</v>
      </c>
      <c r="H112" s="26">
        <v>1</v>
      </c>
      <c r="I112" s="26" t="s">
        <v>500</v>
      </c>
      <c r="J112" s="26" t="s">
        <v>501</v>
      </c>
      <c r="K112" s="28">
        <v>45527.291666666664</v>
      </c>
      <c r="L112" s="26" t="s">
        <v>922</v>
      </c>
      <c r="M112" s="26" t="s">
        <v>487</v>
      </c>
      <c r="N112" s="26"/>
      <c r="O112" s="26" t="s">
        <v>503</v>
      </c>
      <c r="P112" s="26" t="s">
        <v>478</v>
      </c>
    </row>
    <row r="113" spans="1:16" ht="16.899999999999999">
      <c r="A113" s="26" t="s">
        <v>468</v>
      </c>
      <c r="B113" s="27" t="s">
        <v>923</v>
      </c>
      <c r="C113" s="26" t="s">
        <v>924</v>
      </c>
      <c r="D113" s="26" t="s">
        <v>585</v>
      </c>
      <c r="E113" s="26" t="s">
        <v>63</v>
      </c>
      <c r="F113" s="26" t="s">
        <v>472</v>
      </c>
      <c r="G113" s="26" t="s">
        <v>925</v>
      </c>
      <c r="H113" s="26">
        <v>1</v>
      </c>
      <c r="I113" s="26" t="s">
        <v>500</v>
      </c>
      <c r="J113" s="26" t="s">
        <v>501</v>
      </c>
      <c r="K113" s="28">
        <v>45534.291666666664</v>
      </c>
      <c r="L113" s="26" t="s">
        <v>926</v>
      </c>
      <c r="M113" s="26" t="s">
        <v>487</v>
      </c>
      <c r="N113" s="26"/>
      <c r="O113" s="26" t="s">
        <v>488</v>
      </c>
      <c r="P113" s="26" t="s">
        <v>46</v>
      </c>
    </row>
    <row r="114" spans="1:16" ht="16.899999999999999">
      <c r="A114" s="26" t="s">
        <v>468</v>
      </c>
      <c r="B114" s="27" t="s">
        <v>314</v>
      </c>
      <c r="C114" s="26" t="s">
        <v>927</v>
      </c>
      <c r="D114" s="26" t="s">
        <v>471</v>
      </c>
      <c r="E114" s="26" t="s">
        <v>64</v>
      </c>
      <c r="F114" s="26" t="s">
        <v>511</v>
      </c>
      <c r="G114" s="26" t="s">
        <v>928</v>
      </c>
      <c r="H114" s="26">
        <v>0.5</v>
      </c>
      <c r="I114" s="26" t="s">
        <v>500</v>
      </c>
      <c r="J114" s="26" t="s">
        <v>501</v>
      </c>
      <c r="K114" s="28">
        <v>45933.291666666664</v>
      </c>
      <c r="L114" s="26" t="s">
        <v>929</v>
      </c>
      <c r="M114" s="26" t="s">
        <v>487</v>
      </c>
      <c r="N114" s="26"/>
      <c r="O114" s="26" t="s">
        <v>503</v>
      </c>
      <c r="P114" s="26" t="s">
        <v>478</v>
      </c>
    </row>
    <row r="115" spans="1:16" ht="16.899999999999999">
      <c r="A115" s="26" t="s">
        <v>468</v>
      </c>
      <c r="B115" s="27" t="s">
        <v>323</v>
      </c>
      <c r="C115" s="26" t="s">
        <v>930</v>
      </c>
      <c r="D115" s="26" t="s">
        <v>471</v>
      </c>
      <c r="E115" s="26" t="s">
        <v>64</v>
      </c>
      <c r="F115" s="26" t="s">
        <v>511</v>
      </c>
      <c r="G115" s="26" t="s">
        <v>931</v>
      </c>
      <c r="H115" s="26">
        <v>0.5</v>
      </c>
      <c r="I115" s="26" t="s">
        <v>500</v>
      </c>
      <c r="J115" s="26" t="s">
        <v>501</v>
      </c>
      <c r="K115" s="28">
        <v>45933.291666666664</v>
      </c>
      <c r="L115" s="26" t="s">
        <v>929</v>
      </c>
      <c r="M115" s="26" t="s">
        <v>487</v>
      </c>
      <c r="N115" s="26"/>
      <c r="O115" s="26" t="s">
        <v>503</v>
      </c>
      <c r="P115" s="26" t="s">
        <v>478</v>
      </c>
    </row>
    <row r="116" spans="1:16" ht="16.899999999999999">
      <c r="A116" s="26" t="s">
        <v>468</v>
      </c>
      <c r="B116" s="27" t="s">
        <v>333</v>
      </c>
      <c r="C116" s="26" t="s">
        <v>932</v>
      </c>
      <c r="D116" s="26" t="s">
        <v>471</v>
      </c>
      <c r="E116" s="26" t="s">
        <v>64</v>
      </c>
      <c r="F116" s="26" t="s">
        <v>511</v>
      </c>
      <c r="G116" s="26" t="s">
        <v>933</v>
      </c>
      <c r="H116" s="26">
        <v>0.5</v>
      </c>
      <c r="I116" s="26" t="s">
        <v>500</v>
      </c>
      <c r="J116" s="26" t="s">
        <v>501</v>
      </c>
      <c r="K116" s="28">
        <v>45933.291666666664</v>
      </c>
      <c r="L116" s="26" t="s">
        <v>929</v>
      </c>
      <c r="M116" s="26" t="s">
        <v>487</v>
      </c>
      <c r="N116" s="26"/>
      <c r="O116" s="26" t="s">
        <v>503</v>
      </c>
      <c r="P116" s="26" t="s">
        <v>478</v>
      </c>
    </row>
    <row r="117" spans="1:16" ht="16.899999999999999">
      <c r="A117" s="26" t="s">
        <v>468</v>
      </c>
      <c r="B117" s="27" t="s">
        <v>934</v>
      </c>
      <c r="C117" s="26" t="s">
        <v>935</v>
      </c>
      <c r="D117" s="26" t="s">
        <v>471</v>
      </c>
      <c r="E117" s="26" t="s">
        <v>64</v>
      </c>
      <c r="F117" s="26" t="s">
        <v>511</v>
      </c>
      <c r="G117" s="26" t="s">
        <v>936</v>
      </c>
      <c r="H117" s="26">
        <v>0.5</v>
      </c>
      <c r="I117" s="26" t="s">
        <v>500</v>
      </c>
      <c r="J117" s="26" t="s">
        <v>501</v>
      </c>
      <c r="K117" s="28">
        <v>45849.291666666664</v>
      </c>
      <c r="L117" s="26" t="s">
        <v>937</v>
      </c>
      <c r="M117" s="26" t="s">
        <v>487</v>
      </c>
      <c r="N117" s="26"/>
      <c r="O117" s="26" t="s">
        <v>503</v>
      </c>
      <c r="P117" s="26" t="s">
        <v>478</v>
      </c>
    </row>
    <row r="118" spans="1:16" ht="16.899999999999999">
      <c r="A118" s="26" t="s">
        <v>468</v>
      </c>
      <c r="B118" s="27" t="s">
        <v>938</v>
      </c>
      <c r="C118" s="26" t="s">
        <v>939</v>
      </c>
      <c r="D118" s="26" t="s">
        <v>664</v>
      </c>
      <c r="E118" s="26" t="s">
        <v>63</v>
      </c>
      <c r="F118" s="26" t="s">
        <v>472</v>
      </c>
      <c r="G118" s="26" t="s">
        <v>940</v>
      </c>
      <c r="H118" s="26">
        <v>0.5</v>
      </c>
      <c r="I118" s="26" t="s">
        <v>500</v>
      </c>
      <c r="J118" s="26" t="s">
        <v>501</v>
      </c>
      <c r="K118" s="28">
        <v>45975.333333333336</v>
      </c>
      <c r="L118" s="26" t="s">
        <v>941</v>
      </c>
      <c r="M118" s="26" t="s">
        <v>487</v>
      </c>
      <c r="N118" s="26"/>
      <c r="O118" s="26" t="s">
        <v>503</v>
      </c>
      <c r="P118" s="26" t="s">
        <v>478</v>
      </c>
    </row>
    <row r="119" spans="1:16" ht="16.899999999999999">
      <c r="A119" s="26" t="s">
        <v>640</v>
      </c>
      <c r="B119" s="27" t="s">
        <v>942</v>
      </c>
      <c r="C119" s="26" t="s">
        <v>943</v>
      </c>
      <c r="D119" s="26" t="s">
        <v>585</v>
      </c>
      <c r="E119" s="26" t="s">
        <v>63</v>
      </c>
      <c r="F119" s="26" t="s">
        <v>472</v>
      </c>
      <c r="G119" s="26" t="s">
        <v>944</v>
      </c>
      <c r="H119" s="26">
        <v>1</v>
      </c>
      <c r="I119" s="26" t="s">
        <v>500</v>
      </c>
      <c r="J119" s="26" t="s">
        <v>507</v>
      </c>
      <c r="K119" s="28">
        <v>45898.291666666664</v>
      </c>
      <c r="L119" s="26" t="s">
        <v>945</v>
      </c>
      <c r="M119" s="26" t="s">
        <v>487</v>
      </c>
      <c r="N119" s="26"/>
      <c r="O119" s="26" t="s">
        <v>503</v>
      </c>
      <c r="P119" s="26" t="s">
        <v>478</v>
      </c>
    </row>
    <row r="120" spans="1:16" ht="16.899999999999999">
      <c r="A120" s="26" t="s">
        <v>640</v>
      </c>
      <c r="B120" s="27" t="s">
        <v>946</v>
      </c>
      <c r="C120" s="26" t="s">
        <v>947</v>
      </c>
      <c r="D120" s="26" t="s">
        <v>585</v>
      </c>
      <c r="E120" s="26" t="s">
        <v>63</v>
      </c>
      <c r="F120" s="26" t="s">
        <v>472</v>
      </c>
      <c r="G120" s="26" t="s">
        <v>948</v>
      </c>
      <c r="H120" s="26">
        <v>1</v>
      </c>
      <c r="I120" s="26" t="s">
        <v>500</v>
      </c>
      <c r="J120" s="26" t="s">
        <v>507</v>
      </c>
      <c r="K120" s="28">
        <v>46010.333333333336</v>
      </c>
      <c r="L120" s="26" t="s">
        <v>949</v>
      </c>
      <c r="M120" s="26" t="s">
        <v>476</v>
      </c>
      <c r="N120" s="26"/>
      <c r="O120" s="26" t="s">
        <v>503</v>
      </c>
      <c r="P120" s="26" t="s">
        <v>478</v>
      </c>
    </row>
    <row r="121" spans="1:16" ht="16.899999999999999">
      <c r="A121" s="26" t="s">
        <v>640</v>
      </c>
      <c r="B121" s="27" t="s">
        <v>950</v>
      </c>
      <c r="C121" s="26" t="s">
        <v>951</v>
      </c>
      <c r="D121" s="26" t="s">
        <v>585</v>
      </c>
      <c r="E121" s="26" t="s">
        <v>63</v>
      </c>
      <c r="F121" s="26" t="s">
        <v>472</v>
      </c>
      <c r="G121" s="26" t="s">
        <v>952</v>
      </c>
      <c r="H121" s="26">
        <v>1</v>
      </c>
      <c r="I121" s="26" t="s">
        <v>500</v>
      </c>
      <c r="J121" s="26" t="s">
        <v>501</v>
      </c>
      <c r="K121" s="28">
        <v>45891.291666666664</v>
      </c>
      <c r="L121" s="26" t="s">
        <v>953</v>
      </c>
      <c r="M121" s="26" t="s">
        <v>487</v>
      </c>
      <c r="N121" s="26"/>
      <c r="O121" s="26" t="s">
        <v>503</v>
      </c>
      <c r="P121" s="26" t="s">
        <v>478</v>
      </c>
    </row>
    <row r="122" spans="1:16" ht="16.899999999999999">
      <c r="A122" s="26" t="s">
        <v>640</v>
      </c>
      <c r="B122" s="27" t="s">
        <v>954</v>
      </c>
      <c r="C122" s="26" t="s">
        <v>955</v>
      </c>
      <c r="D122" s="26" t="s">
        <v>585</v>
      </c>
      <c r="E122" s="26" t="s">
        <v>63</v>
      </c>
      <c r="F122" s="26" t="s">
        <v>472</v>
      </c>
      <c r="G122" s="26" t="s">
        <v>956</v>
      </c>
      <c r="H122" s="26">
        <v>1</v>
      </c>
      <c r="I122" s="26" t="s">
        <v>500</v>
      </c>
      <c r="J122" s="26" t="s">
        <v>507</v>
      </c>
      <c r="K122" s="28">
        <v>46003.333333333336</v>
      </c>
      <c r="L122" s="26" t="s">
        <v>957</v>
      </c>
      <c r="M122" s="26" t="s">
        <v>476</v>
      </c>
      <c r="N122" s="26"/>
      <c r="O122" s="26" t="s">
        <v>503</v>
      </c>
      <c r="P122" s="26" t="s">
        <v>478</v>
      </c>
    </row>
    <row r="123" spans="1:16" ht="16.899999999999999">
      <c r="A123" s="26" t="s">
        <v>640</v>
      </c>
      <c r="B123" s="27" t="s">
        <v>958</v>
      </c>
      <c r="C123" s="26" t="s">
        <v>959</v>
      </c>
      <c r="D123" s="26" t="s">
        <v>471</v>
      </c>
      <c r="E123" s="26" t="s">
        <v>46</v>
      </c>
      <c r="F123" s="26" t="s">
        <v>472</v>
      </c>
      <c r="G123" s="26" t="s">
        <v>960</v>
      </c>
      <c r="H123" s="26">
        <v>0.5</v>
      </c>
      <c r="I123" s="26" t="s">
        <v>474</v>
      </c>
      <c r="J123" s="26"/>
      <c r="K123" s="28">
        <v>45327.333333333336</v>
      </c>
      <c r="L123" s="26" t="s">
        <v>530</v>
      </c>
      <c r="M123" s="26" t="s">
        <v>487</v>
      </c>
      <c r="N123" s="26"/>
      <c r="O123" s="26" t="s">
        <v>503</v>
      </c>
      <c r="P123" s="26" t="s">
        <v>478</v>
      </c>
    </row>
    <row r="124" spans="1:16" ht="16.899999999999999">
      <c r="A124" s="26" t="s">
        <v>640</v>
      </c>
      <c r="B124" s="27" t="s">
        <v>961</v>
      </c>
      <c r="C124" s="26" t="s">
        <v>962</v>
      </c>
      <c r="D124" s="26" t="s">
        <v>471</v>
      </c>
      <c r="E124" s="26" t="s">
        <v>64</v>
      </c>
      <c r="F124" s="26" t="s">
        <v>511</v>
      </c>
      <c r="G124" s="26" t="s">
        <v>963</v>
      </c>
      <c r="H124" s="26">
        <v>0.5</v>
      </c>
      <c r="I124" s="26" t="s">
        <v>500</v>
      </c>
      <c r="J124" s="26" t="s">
        <v>507</v>
      </c>
      <c r="K124" s="28">
        <v>45604.333333333336</v>
      </c>
      <c r="L124" s="26" t="s">
        <v>964</v>
      </c>
      <c r="M124" s="26" t="s">
        <v>487</v>
      </c>
      <c r="N124" s="26"/>
      <c r="O124" s="26" t="s">
        <v>503</v>
      </c>
      <c r="P124" s="26" t="s">
        <v>478</v>
      </c>
    </row>
    <row r="125" spans="1:16" ht="16.899999999999999">
      <c r="A125" s="26" t="s">
        <v>640</v>
      </c>
      <c r="B125" s="27" t="s">
        <v>965</v>
      </c>
      <c r="C125" s="26" t="s">
        <v>966</v>
      </c>
      <c r="D125" s="26" t="s">
        <v>471</v>
      </c>
      <c r="E125" s="26" t="s">
        <v>64</v>
      </c>
      <c r="F125" s="26" t="s">
        <v>511</v>
      </c>
      <c r="G125" s="26" t="s">
        <v>967</v>
      </c>
      <c r="H125" s="26">
        <v>0.5</v>
      </c>
      <c r="I125" s="26" t="s">
        <v>500</v>
      </c>
      <c r="J125" s="26" t="s">
        <v>501</v>
      </c>
      <c r="K125" s="28">
        <v>45583.291666666664</v>
      </c>
      <c r="L125" s="26" t="s">
        <v>968</v>
      </c>
      <c r="M125" s="26" t="s">
        <v>487</v>
      </c>
      <c r="N125" s="26"/>
      <c r="O125" s="26" t="s">
        <v>503</v>
      </c>
      <c r="P125" s="26" t="s">
        <v>478</v>
      </c>
    </row>
    <row r="126" spans="1:16" ht="16.899999999999999">
      <c r="A126" s="26" t="s">
        <v>640</v>
      </c>
      <c r="B126" s="27" t="s">
        <v>969</v>
      </c>
      <c r="C126" s="26" t="s">
        <v>970</v>
      </c>
      <c r="D126" s="26" t="s">
        <v>471</v>
      </c>
      <c r="E126" s="26" t="s">
        <v>64</v>
      </c>
      <c r="F126" s="26" t="s">
        <v>511</v>
      </c>
      <c r="G126" s="26" t="s">
        <v>971</v>
      </c>
      <c r="H126" s="26">
        <v>0.5</v>
      </c>
      <c r="I126" s="26" t="s">
        <v>500</v>
      </c>
      <c r="J126" s="26" t="s">
        <v>501</v>
      </c>
      <c r="K126" s="28">
        <v>45793.291666666664</v>
      </c>
      <c r="L126" s="26" t="s">
        <v>874</v>
      </c>
      <c r="M126" s="26" t="s">
        <v>487</v>
      </c>
      <c r="N126" s="26"/>
      <c r="O126" s="26" t="s">
        <v>503</v>
      </c>
      <c r="P126" s="26" t="s">
        <v>478</v>
      </c>
    </row>
    <row r="127" spans="1:16" ht="16.899999999999999">
      <c r="A127" s="26" t="s">
        <v>640</v>
      </c>
      <c r="B127" s="27" t="s">
        <v>972</v>
      </c>
      <c r="C127" s="26" t="s">
        <v>973</v>
      </c>
      <c r="D127" s="26" t="s">
        <v>471</v>
      </c>
      <c r="E127" s="26" t="s">
        <v>46</v>
      </c>
      <c r="F127" s="26" t="s">
        <v>472</v>
      </c>
      <c r="G127" s="26" t="s">
        <v>974</v>
      </c>
      <c r="H127" s="26">
        <v>0.5</v>
      </c>
      <c r="I127" s="26" t="s">
        <v>500</v>
      </c>
      <c r="J127" s="26" t="s">
        <v>501</v>
      </c>
      <c r="K127" s="28">
        <v>45800.291666666664</v>
      </c>
      <c r="L127" s="26" t="s">
        <v>975</v>
      </c>
      <c r="M127" s="26" t="s">
        <v>487</v>
      </c>
      <c r="N127" s="26"/>
      <c r="O127" s="26" t="s">
        <v>822</v>
      </c>
      <c r="P127" s="26" t="s">
        <v>46</v>
      </c>
    </row>
    <row r="128" spans="1:16" ht="16.899999999999999">
      <c r="A128" s="26" t="s">
        <v>640</v>
      </c>
      <c r="B128" s="27" t="s">
        <v>976</v>
      </c>
      <c r="C128" s="26" t="s">
        <v>977</v>
      </c>
      <c r="D128" s="26" t="s">
        <v>471</v>
      </c>
      <c r="E128" s="26" t="s">
        <v>64</v>
      </c>
      <c r="F128" s="26" t="s">
        <v>511</v>
      </c>
      <c r="G128" s="26" t="s">
        <v>978</v>
      </c>
      <c r="H128" s="26">
        <v>0.5</v>
      </c>
      <c r="I128" s="26" t="s">
        <v>500</v>
      </c>
      <c r="J128" s="26" t="s">
        <v>501</v>
      </c>
      <c r="K128" s="28">
        <v>45807.291666666664</v>
      </c>
      <c r="L128" s="26" t="s">
        <v>979</v>
      </c>
      <c r="M128" s="26" t="s">
        <v>487</v>
      </c>
      <c r="N128" s="26"/>
      <c r="O128" s="26" t="s">
        <v>503</v>
      </c>
      <c r="P128" s="26" t="s">
        <v>478</v>
      </c>
    </row>
    <row r="129" spans="1:16" ht="16.899999999999999">
      <c r="A129" s="26" t="s">
        <v>640</v>
      </c>
      <c r="B129" s="27" t="s">
        <v>980</v>
      </c>
      <c r="C129" s="26" t="s">
        <v>981</v>
      </c>
      <c r="D129" s="26" t="s">
        <v>471</v>
      </c>
      <c r="E129" s="26" t="s">
        <v>46</v>
      </c>
      <c r="F129" s="26" t="s">
        <v>472</v>
      </c>
      <c r="G129" s="26" t="s">
        <v>982</v>
      </c>
      <c r="H129" s="26">
        <v>0.5</v>
      </c>
      <c r="I129" s="26" t="s">
        <v>500</v>
      </c>
      <c r="J129" s="26" t="s">
        <v>501</v>
      </c>
      <c r="K129" s="28">
        <v>45870.291666666664</v>
      </c>
      <c r="L129" s="26" t="s">
        <v>983</v>
      </c>
      <c r="M129" s="26" t="s">
        <v>487</v>
      </c>
      <c r="N129" s="26"/>
      <c r="O129" s="26" t="s">
        <v>503</v>
      </c>
      <c r="P129" s="26" t="s">
        <v>478</v>
      </c>
    </row>
    <row r="130" spans="1:16" ht="16.899999999999999">
      <c r="A130" s="26" t="s">
        <v>640</v>
      </c>
      <c r="B130" s="27" t="s">
        <v>984</v>
      </c>
      <c r="C130" s="26" t="s">
        <v>985</v>
      </c>
      <c r="D130" s="26" t="s">
        <v>471</v>
      </c>
      <c r="E130" s="26" t="s">
        <v>63</v>
      </c>
      <c r="F130" s="26" t="s">
        <v>472</v>
      </c>
      <c r="G130" s="26" t="s">
        <v>986</v>
      </c>
      <c r="H130" s="26">
        <v>0.5</v>
      </c>
      <c r="I130" s="26" t="s">
        <v>500</v>
      </c>
      <c r="J130" s="26" t="s">
        <v>507</v>
      </c>
      <c r="K130" s="28">
        <v>45835.291666666664</v>
      </c>
      <c r="L130" s="26" t="s">
        <v>987</v>
      </c>
      <c r="M130" s="26" t="s">
        <v>487</v>
      </c>
      <c r="N130" s="26"/>
      <c r="O130" s="26" t="s">
        <v>503</v>
      </c>
      <c r="P130" s="26" t="s">
        <v>478</v>
      </c>
    </row>
    <row r="131" spans="1:16" ht="16.899999999999999">
      <c r="A131" s="19"/>
      <c r="B131" s="18"/>
      <c r="C131" s="19"/>
      <c r="D131" s="19"/>
      <c r="E131" s="19"/>
      <c r="F131" s="19"/>
      <c r="G131" s="19"/>
      <c r="H131" s="19"/>
      <c r="I131" s="19"/>
      <c r="J131" s="19"/>
      <c r="K131" s="19"/>
      <c r="L131" s="19"/>
      <c r="M131" s="19"/>
      <c r="N131" s="19"/>
      <c r="O131" s="19"/>
      <c r="P131" s="19"/>
    </row>
    <row r="132" spans="1:16" ht="16.899999999999999">
      <c r="A132" s="19"/>
      <c r="B132" s="18"/>
      <c r="C132" s="19"/>
      <c r="D132" s="19"/>
      <c r="E132" s="19"/>
      <c r="F132" s="19"/>
      <c r="G132" s="19"/>
      <c r="H132" s="19"/>
      <c r="I132" s="19"/>
      <c r="J132" s="19"/>
      <c r="K132" s="19"/>
      <c r="L132" s="19"/>
      <c r="M132" s="19"/>
      <c r="N132" s="19"/>
      <c r="O132" s="19"/>
      <c r="P132" s="19"/>
    </row>
    <row r="133" spans="1:16" ht="16.899999999999999">
      <c r="A133" s="19"/>
      <c r="B133" s="18"/>
      <c r="C133" s="19"/>
      <c r="D133" s="19"/>
      <c r="E133" s="19"/>
      <c r="F133" s="19"/>
      <c r="G133" s="19"/>
      <c r="H133" s="19"/>
      <c r="I133" s="19"/>
      <c r="J133" s="19"/>
      <c r="K133" s="19"/>
      <c r="L133" s="19"/>
      <c r="M133" s="19"/>
      <c r="N133" s="19"/>
      <c r="O133" s="19"/>
      <c r="P133" s="19"/>
    </row>
    <row r="134" spans="1:16" ht="16.899999999999999">
      <c r="A134" s="19"/>
      <c r="B134" s="18"/>
      <c r="C134" s="19"/>
      <c r="D134" s="19"/>
      <c r="E134" s="19"/>
      <c r="F134" s="19"/>
      <c r="G134" s="19"/>
      <c r="H134" s="19"/>
      <c r="I134" s="19"/>
      <c r="J134" s="19"/>
      <c r="K134" s="19"/>
      <c r="L134" s="19"/>
      <c r="M134" s="19"/>
      <c r="N134" s="19"/>
      <c r="O134" s="19"/>
      <c r="P134" s="19"/>
    </row>
    <row r="135" spans="1:16" ht="16.899999999999999">
      <c r="A135" s="19"/>
      <c r="B135" s="18"/>
      <c r="C135" s="19"/>
      <c r="D135" s="19"/>
      <c r="E135" s="19"/>
      <c r="F135" s="19"/>
      <c r="G135" s="19"/>
      <c r="H135" s="19"/>
      <c r="I135" s="19"/>
      <c r="J135" s="19"/>
      <c r="K135" s="19"/>
      <c r="L135" s="19"/>
      <c r="M135" s="19"/>
      <c r="N135" s="19"/>
      <c r="O135" s="19"/>
      <c r="P135" s="19"/>
    </row>
    <row r="136" spans="1:16" ht="16.899999999999999">
      <c r="A136" s="19"/>
      <c r="B136" s="18"/>
      <c r="C136" s="19"/>
      <c r="D136" s="19"/>
      <c r="E136" s="19"/>
      <c r="F136" s="19"/>
      <c r="G136" s="19"/>
      <c r="H136" s="19"/>
      <c r="I136" s="19"/>
      <c r="J136" s="19"/>
      <c r="K136" s="19"/>
      <c r="L136" s="19"/>
      <c r="M136" s="19"/>
      <c r="N136" s="19"/>
      <c r="O136" s="19"/>
      <c r="P136" s="19"/>
    </row>
    <row r="137" spans="1:16" ht="16.899999999999999">
      <c r="A137" s="19"/>
      <c r="B137" s="18"/>
      <c r="C137" s="19"/>
      <c r="D137" s="19"/>
      <c r="E137" s="19"/>
      <c r="F137" s="19"/>
      <c r="G137" s="19"/>
      <c r="H137" s="19"/>
      <c r="I137" s="19"/>
      <c r="J137" s="19"/>
      <c r="K137" s="19"/>
      <c r="L137" s="19"/>
      <c r="M137" s="19"/>
      <c r="N137" s="19"/>
      <c r="O137" s="19"/>
      <c r="P137" s="19"/>
    </row>
    <row r="138" spans="1:16" ht="16.899999999999999">
      <c r="A138" s="19"/>
      <c r="B138" s="18"/>
      <c r="C138" s="19"/>
      <c r="D138" s="19"/>
      <c r="E138" s="19"/>
      <c r="F138" s="19"/>
      <c r="G138" s="19"/>
      <c r="H138" s="19"/>
      <c r="I138" s="19"/>
      <c r="J138" s="19"/>
      <c r="K138" s="19"/>
      <c r="L138" s="19"/>
      <c r="M138" s="19"/>
      <c r="N138" s="19"/>
      <c r="O138" s="19"/>
      <c r="P138" s="19"/>
    </row>
    <row r="139" spans="1:16" ht="16.899999999999999">
      <c r="A139" s="19"/>
      <c r="B139" s="18"/>
      <c r="C139" s="19"/>
      <c r="D139" s="19"/>
      <c r="E139" s="19"/>
      <c r="F139" s="19"/>
      <c r="G139" s="19"/>
      <c r="H139" s="19"/>
      <c r="I139" s="19"/>
      <c r="J139" s="19"/>
      <c r="K139" s="19"/>
      <c r="L139" s="19"/>
      <c r="M139" s="19"/>
      <c r="N139" s="19"/>
      <c r="O139" s="19"/>
      <c r="P139" s="19"/>
    </row>
    <row r="140" spans="1:16" ht="16.899999999999999">
      <c r="A140" s="19"/>
      <c r="B140" s="18"/>
      <c r="C140" s="19"/>
      <c r="D140" s="19"/>
      <c r="E140" s="19"/>
      <c r="F140" s="19"/>
      <c r="G140" s="19"/>
      <c r="H140" s="19"/>
      <c r="I140" s="19"/>
      <c r="J140" s="19"/>
      <c r="K140" s="19"/>
      <c r="L140" s="19"/>
      <c r="M140" s="19"/>
      <c r="N140" s="19"/>
      <c r="O140" s="19"/>
      <c r="P140" s="19"/>
    </row>
    <row r="141" spans="1:16" ht="16.899999999999999">
      <c r="A141" s="19"/>
      <c r="B141" s="18"/>
      <c r="C141" s="19"/>
      <c r="D141" s="19"/>
      <c r="E141" s="19"/>
      <c r="F141" s="19"/>
      <c r="G141" s="19"/>
      <c r="H141" s="19"/>
      <c r="I141" s="19"/>
      <c r="J141" s="19"/>
      <c r="K141" s="19"/>
      <c r="L141" s="19"/>
      <c r="M141" s="19"/>
      <c r="N141" s="19"/>
      <c r="O141" s="19"/>
      <c r="P141" s="19"/>
    </row>
    <row r="142" spans="1:16" ht="16.899999999999999">
      <c r="A142" s="19"/>
      <c r="B142" s="18"/>
      <c r="C142" s="19"/>
      <c r="D142" s="19"/>
      <c r="E142" s="19"/>
      <c r="F142" s="19"/>
      <c r="G142" s="19"/>
      <c r="H142" s="19"/>
      <c r="I142" s="19"/>
      <c r="J142" s="19"/>
      <c r="K142" s="19"/>
      <c r="L142" s="19"/>
      <c r="M142" s="19"/>
      <c r="N142" s="19"/>
      <c r="O142" s="19"/>
      <c r="P142" s="19"/>
    </row>
    <row r="143" spans="1:16" ht="16.899999999999999">
      <c r="A143" s="19"/>
      <c r="B143" s="18"/>
      <c r="C143" s="19"/>
      <c r="D143" s="19"/>
      <c r="E143" s="19"/>
      <c r="F143" s="19"/>
      <c r="G143" s="19"/>
      <c r="H143" s="19"/>
      <c r="I143" s="19"/>
      <c r="J143" s="19"/>
      <c r="K143" s="19"/>
      <c r="L143" s="19"/>
      <c r="M143" s="19"/>
      <c r="N143" s="19"/>
      <c r="O143" s="19"/>
      <c r="P143" s="19"/>
    </row>
    <row r="144" spans="1:16" ht="16.899999999999999">
      <c r="A144" s="19"/>
      <c r="B144" s="18"/>
      <c r="C144" s="19"/>
      <c r="D144" s="19"/>
      <c r="E144" s="19"/>
      <c r="F144" s="19"/>
      <c r="G144" s="19"/>
      <c r="H144" s="19"/>
      <c r="I144" s="19"/>
      <c r="J144" s="19"/>
      <c r="K144" s="19"/>
      <c r="L144" s="19"/>
      <c r="M144" s="19"/>
      <c r="N144" s="19"/>
      <c r="O144" s="19"/>
      <c r="P144" s="19"/>
    </row>
    <row r="145" spans="1:16" ht="16.899999999999999">
      <c r="A145" s="19"/>
      <c r="B145" s="18"/>
      <c r="C145" s="19"/>
      <c r="D145" s="19"/>
      <c r="E145" s="19"/>
      <c r="F145" s="19"/>
      <c r="G145" s="19"/>
      <c r="H145" s="19"/>
      <c r="I145" s="19"/>
      <c r="J145" s="19"/>
      <c r="K145" s="19"/>
      <c r="L145" s="19"/>
      <c r="M145" s="19"/>
      <c r="N145" s="19"/>
      <c r="O145" s="19"/>
      <c r="P145" s="19"/>
    </row>
    <row r="146" spans="1:16" ht="16.899999999999999">
      <c r="A146" s="19"/>
      <c r="B146" s="18"/>
      <c r="C146" s="19"/>
      <c r="D146" s="19"/>
      <c r="E146" s="19"/>
      <c r="F146" s="19"/>
      <c r="G146" s="19"/>
      <c r="H146" s="19"/>
      <c r="I146" s="19"/>
      <c r="J146" s="19"/>
      <c r="K146" s="19"/>
      <c r="L146" s="19"/>
      <c r="M146" s="19"/>
      <c r="N146" s="19"/>
      <c r="O146" s="19"/>
      <c r="P146" s="19"/>
    </row>
    <row r="147" spans="1:16" ht="16.899999999999999">
      <c r="A147" s="19"/>
      <c r="B147" s="18"/>
      <c r="C147" s="19"/>
      <c r="D147" s="19"/>
      <c r="E147" s="19"/>
      <c r="F147" s="19"/>
      <c r="G147" s="19"/>
      <c r="H147" s="19"/>
      <c r="I147" s="19"/>
      <c r="J147" s="19"/>
      <c r="K147" s="19"/>
      <c r="L147" s="19"/>
      <c r="M147" s="19"/>
      <c r="N147" s="19"/>
      <c r="O147" s="19"/>
      <c r="P147" s="19"/>
    </row>
    <row r="148" spans="1:16" ht="16.899999999999999">
      <c r="A148" s="19"/>
      <c r="B148" s="18"/>
      <c r="C148" s="19"/>
      <c r="D148" s="19"/>
      <c r="E148" s="19"/>
      <c r="F148" s="19"/>
      <c r="G148" s="19"/>
      <c r="H148" s="19"/>
      <c r="I148" s="19"/>
      <c r="J148" s="19"/>
      <c r="K148" s="19"/>
      <c r="L148" s="19"/>
      <c r="M148" s="19"/>
      <c r="N148" s="19"/>
      <c r="O148" s="19"/>
      <c r="P148" s="19"/>
    </row>
    <row r="149" spans="1:16" ht="16.899999999999999">
      <c r="A149" s="19"/>
      <c r="B149" s="18"/>
      <c r="C149" s="19"/>
      <c r="D149" s="19"/>
      <c r="E149" s="19"/>
      <c r="F149" s="19"/>
      <c r="G149" s="19"/>
      <c r="H149" s="19"/>
      <c r="I149" s="19"/>
      <c r="J149" s="19"/>
      <c r="K149" s="19"/>
      <c r="L149" s="19"/>
      <c r="M149" s="19"/>
      <c r="N149" s="19"/>
      <c r="O149" s="19"/>
      <c r="P149" s="19"/>
    </row>
    <row r="150" spans="1:16" ht="16.899999999999999">
      <c r="A150" s="19"/>
      <c r="B150" s="18"/>
      <c r="C150" s="19"/>
      <c r="D150" s="19"/>
      <c r="E150" s="19"/>
      <c r="F150" s="19"/>
      <c r="G150" s="19"/>
      <c r="H150" s="19"/>
      <c r="I150" s="19"/>
      <c r="J150" s="19"/>
      <c r="K150" s="19"/>
      <c r="L150" s="19"/>
      <c r="M150" s="19"/>
      <c r="N150" s="19"/>
      <c r="O150" s="19"/>
      <c r="P150" s="19"/>
    </row>
    <row r="151" spans="1:16" ht="16.899999999999999">
      <c r="A151" s="19"/>
      <c r="B151" s="18"/>
      <c r="C151" s="19"/>
      <c r="D151" s="19"/>
      <c r="E151" s="19"/>
      <c r="F151" s="19"/>
      <c r="G151" s="19"/>
      <c r="H151" s="19"/>
      <c r="I151" s="19"/>
      <c r="J151" s="19"/>
      <c r="K151" s="19"/>
      <c r="L151" s="19"/>
      <c r="M151" s="19"/>
      <c r="N151" s="19"/>
      <c r="O151" s="19"/>
      <c r="P151" s="19"/>
    </row>
    <row r="152" spans="1:16" ht="16.899999999999999">
      <c r="A152" s="19"/>
      <c r="B152" s="18"/>
      <c r="C152" s="19"/>
      <c r="D152" s="19"/>
      <c r="E152" s="19"/>
      <c r="F152" s="19"/>
      <c r="G152" s="19"/>
      <c r="H152" s="19"/>
      <c r="I152" s="19"/>
      <c r="J152" s="19"/>
      <c r="K152" s="19"/>
      <c r="L152" s="19"/>
      <c r="M152" s="19"/>
      <c r="N152" s="19"/>
      <c r="O152" s="19"/>
      <c r="P152" s="19"/>
    </row>
    <row r="153" spans="1:16" ht="16.899999999999999">
      <c r="A153" s="19"/>
      <c r="B153" s="18"/>
      <c r="C153" s="19"/>
      <c r="D153" s="19"/>
      <c r="E153" s="19"/>
      <c r="F153" s="19"/>
      <c r="G153" s="19"/>
      <c r="H153" s="19"/>
      <c r="I153" s="19"/>
      <c r="J153" s="19"/>
      <c r="K153" s="19"/>
      <c r="L153" s="19"/>
      <c r="M153" s="19"/>
      <c r="N153" s="19"/>
      <c r="O153" s="19"/>
      <c r="P153" s="19"/>
    </row>
    <row r="154" spans="1:16" ht="16.899999999999999">
      <c r="A154" s="19"/>
      <c r="B154" s="18"/>
      <c r="C154" s="19"/>
      <c r="D154" s="19"/>
      <c r="E154" s="19"/>
      <c r="F154" s="19"/>
      <c r="G154" s="19"/>
      <c r="H154" s="19"/>
      <c r="I154" s="19"/>
      <c r="J154" s="19"/>
      <c r="K154" s="19"/>
      <c r="L154" s="19"/>
      <c r="M154" s="19"/>
      <c r="N154" s="19"/>
      <c r="O154" s="19"/>
      <c r="P154" s="19"/>
    </row>
    <row r="155" spans="1:16" ht="16.899999999999999">
      <c r="A155" s="19"/>
      <c r="B155" s="18"/>
      <c r="C155" s="19"/>
      <c r="D155" s="19"/>
      <c r="E155" s="19"/>
      <c r="F155" s="19"/>
      <c r="G155" s="19"/>
      <c r="H155" s="19"/>
      <c r="I155" s="19"/>
      <c r="J155" s="19"/>
      <c r="K155" s="19"/>
      <c r="L155" s="19"/>
      <c r="M155" s="19"/>
      <c r="N155" s="19"/>
      <c r="O155" s="19"/>
      <c r="P155" s="19"/>
    </row>
    <row r="156" spans="1:16" ht="16.899999999999999">
      <c r="A156" s="19"/>
      <c r="B156" s="18"/>
      <c r="C156" s="19"/>
      <c r="D156" s="19"/>
      <c r="E156" s="19"/>
      <c r="F156" s="19"/>
      <c r="G156" s="19"/>
      <c r="H156" s="19"/>
      <c r="I156" s="19"/>
      <c r="J156" s="19"/>
      <c r="K156" s="19"/>
      <c r="L156" s="19"/>
      <c r="M156" s="19"/>
      <c r="N156" s="19"/>
      <c r="O156" s="19"/>
      <c r="P156" s="19"/>
    </row>
    <row r="157" spans="1:16" ht="16.899999999999999">
      <c r="A157" s="19"/>
      <c r="B157" s="18"/>
      <c r="C157" s="19"/>
      <c r="D157" s="19"/>
      <c r="E157" s="19"/>
      <c r="F157" s="19"/>
      <c r="G157" s="19"/>
      <c r="H157" s="19"/>
      <c r="I157" s="19"/>
      <c r="J157" s="19"/>
      <c r="K157" s="19"/>
      <c r="L157" s="19"/>
      <c r="M157" s="19"/>
      <c r="N157" s="19"/>
      <c r="O157" s="19"/>
      <c r="P157" s="19"/>
    </row>
    <row r="158" spans="1:16" ht="16.899999999999999">
      <c r="A158" s="19"/>
      <c r="B158" s="18"/>
      <c r="C158" s="19"/>
      <c r="D158" s="19"/>
      <c r="E158" s="19"/>
      <c r="F158" s="19"/>
      <c r="G158" s="19"/>
      <c r="H158" s="19"/>
      <c r="I158" s="19"/>
      <c r="J158" s="19"/>
      <c r="K158" s="19"/>
      <c r="L158" s="19"/>
      <c r="M158" s="19"/>
      <c r="N158" s="19"/>
      <c r="O158" s="19"/>
      <c r="P158" s="19"/>
    </row>
    <row r="159" spans="1:16" ht="16.899999999999999">
      <c r="A159" s="19"/>
      <c r="B159" s="18"/>
      <c r="C159" s="19"/>
      <c r="D159" s="19"/>
      <c r="E159" s="19"/>
      <c r="F159" s="19"/>
      <c r="G159" s="19"/>
      <c r="H159" s="19"/>
      <c r="I159" s="19"/>
      <c r="J159" s="19"/>
      <c r="K159" s="19"/>
      <c r="L159" s="19"/>
      <c r="M159" s="19"/>
      <c r="N159" s="19"/>
      <c r="O159" s="19"/>
      <c r="P159" s="19"/>
    </row>
    <row r="160" spans="1:16" ht="16.899999999999999">
      <c r="A160" s="19"/>
      <c r="B160" s="18"/>
      <c r="C160" s="19"/>
      <c r="D160" s="19"/>
      <c r="E160" s="19"/>
      <c r="F160" s="19"/>
      <c r="G160" s="19"/>
      <c r="H160" s="19"/>
      <c r="I160" s="19"/>
      <c r="J160" s="19"/>
      <c r="K160" s="19"/>
      <c r="L160" s="19"/>
      <c r="M160" s="19"/>
      <c r="N160" s="19"/>
      <c r="O160" s="19"/>
      <c r="P160" s="19"/>
    </row>
    <row r="161" spans="1:16" ht="16.899999999999999">
      <c r="A161" s="19"/>
      <c r="B161" s="18"/>
      <c r="C161" s="19"/>
      <c r="D161" s="19"/>
      <c r="E161" s="19"/>
      <c r="F161" s="19"/>
      <c r="G161" s="19"/>
      <c r="H161" s="19"/>
      <c r="I161" s="19"/>
      <c r="J161" s="19"/>
      <c r="K161" s="19"/>
      <c r="L161" s="19"/>
      <c r="M161" s="19"/>
      <c r="N161" s="19"/>
      <c r="O161" s="19"/>
      <c r="P161" s="19"/>
    </row>
    <row r="162" spans="1:16" ht="16.899999999999999">
      <c r="A162" s="19"/>
      <c r="B162" s="18"/>
      <c r="C162" s="19"/>
      <c r="D162" s="19"/>
      <c r="E162" s="19"/>
      <c r="F162" s="19"/>
      <c r="G162" s="19"/>
      <c r="H162" s="19"/>
      <c r="I162" s="19"/>
      <c r="J162" s="19"/>
      <c r="K162" s="19"/>
      <c r="L162" s="19"/>
      <c r="M162" s="19"/>
      <c r="N162" s="19"/>
      <c r="O162" s="19"/>
      <c r="P162" s="19"/>
    </row>
    <row r="163" spans="1:16" ht="16.899999999999999">
      <c r="A163" s="19"/>
      <c r="B163" s="18"/>
      <c r="C163" s="19"/>
      <c r="D163" s="19"/>
      <c r="E163" s="19"/>
      <c r="F163" s="19"/>
      <c r="G163" s="19"/>
      <c r="H163" s="19"/>
      <c r="I163" s="19"/>
      <c r="J163" s="19"/>
      <c r="K163" s="19"/>
      <c r="L163" s="19"/>
      <c r="M163" s="19"/>
      <c r="N163" s="19"/>
      <c r="O163" s="19"/>
      <c r="P163" s="19"/>
    </row>
    <row r="164" spans="1:16" ht="16.899999999999999">
      <c r="A164" s="19"/>
      <c r="B164" s="18"/>
      <c r="C164" s="19"/>
      <c r="D164" s="19"/>
      <c r="E164" s="19"/>
      <c r="F164" s="19"/>
      <c r="G164" s="19"/>
      <c r="H164" s="19"/>
      <c r="I164" s="19"/>
      <c r="J164" s="19"/>
      <c r="K164" s="19"/>
      <c r="L164" s="19"/>
      <c r="M164" s="19"/>
      <c r="N164" s="19"/>
      <c r="O164" s="19"/>
      <c r="P164" s="19"/>
    </row>
    <row r="165" spans="1:16" ht="16.899999999999999">
      <c r="A165" s="19"/>
      <c r="B165" s="18"/>
      <c r="C165" s="19"/>
      <c r="D165" s="19"/>
      <c r="E165" s="19"/>
      <c r="F165" s="19"/>
      <c r="G165" s="19"/>
      <c r="H165" s="19"/>
      <c r="I165" s="19"/>
      <c r="J165" s="19"/>
      <c r="K165" s="19"/>
      <c r="L165" s="19"/>
      <c r="M165" s="19"/>
      <c r="N165" s="19"/>
      <c r="O165" s="19"/>
      <c r="P165" s="19"/>
    </row>
    <row r="166" spans="1:16" ht="16.899999999999999">
      <c r="A166" s="19"/>
      <c r="B166" s="18"/>
      <c r="C166" s="19"/>
      <c r="D166" s="19"/>
      <c r="E166" s="19"/>
      <c r="F166" s="19"/>
      <c r="G166" s="19"/>
      <c r="H166" s="19"/>
      <c r="I166" s="19"/>
      <c r="J166" s="19"/>
      <c r="K166" s="19"/>
      <c r="L166" s="19"/>
      <c r="M166" s="19"/>
      <c r="N166" s="19"/>
      <c r="O166" s="19"/>
      <c r="P166" s="19"/>
    </row>
    <row r="167" spans="1:16" ht="16.899999999999999">
      <c r="A167" s="19"/>
      <c r="B167" s="18"/>
      <c r="C167" s="19"/>
      <c r="D167" s="19"/>
      <c r="E167" s="19"/>
      <c r="F167" s="19"/>
      <c r="G167" s="19"/>
      <c r="H167" s="19"/>
      <c r="I167" s="19"/>
      <c r="J167" s="19"/>
      <c r="K167" s="19"/>
      <c r="L167" s="19"/>
      <c r="M167" s="19"/>
      <c r="N167" s="19"/>
      <c r="O167" s="19"/>
      <c r="P167" s="19"/>
    </row>
    <row r="168" spans="1:16" ht="16.899999999999999">
      <c r="A168" s="19"/>
      <c r="B168" s="18"/>
      <c r="C168" s="19"/>
      <c r="D168" s="19"/>
      <c r="E168" s="19"/>
      <c r="F168" s="19"/>
      <c r="G168" s="19"/>
      <c r="H168" s="19"/>
      <c r="I168" s="19"/>
      <c r="J168" s="19"/>
      <c r="K168" s="19"/>
      <c r="L168" s="19"/>
      <c r="M168" s="19"/>
      <c r="N168" s="19"/>
      <c r="O168" s="19"/>
      <c r="P168" s="19"/>
    </row>
    <row r="169" spans="1:16" ht="16.899999999999999">
      <c r="A169" s="19"/>
      <c r="B169" s="18"/>
      <c r="C169" s="19"/>
      <c r="D169" s="19"/>
      <c r="E169" s="19"/>
      <c r="F169" s="19"/>
      <c r="G169" s="19"/>
      <c r="H169" s="19"/>
      <c r="I169" s="19"/>
      <c r="J169" s="19"/>
      <c r="K169" s="19"/>
      <c r="L169" s="19"/>
      <c r="M169" s="19"/>
      <c r="N169" s="19"/>
      <c r="O169" s="19"/>
      <c r="P169" s="19"/>
    </row>
    <row r="170" spans="1:16" ht="16.899999999999999">
      <c r="A170" s="19"/>
      <c r="B170" s="18"/>
      <c r="C170" s="19"/>
      <c r="D170" s="19"/>
      <c r="E170" s="19"/>
      <c r="F170" s="19"/>
      <c r="G170" s="19"/>
      <c r="H170" s="19"/>
      <c r="I170" s="19"/>
      <c r="J170" s="19"/>
      <c r="K170" s="19"/>
      <c r="L170" s="19"/>
      <c r="M170" s="19"/>
      <c r="N170" s="19"/>
      <c r="O170" s="19"/>
      <c r="P170" s="19"/>
    </row>
    <row r="171" spans="1:16" ht="16.899999999999999">
      <c r="A171" s="19"/>
      <c r="B171" s="18"/>
      <c r="C171" s="19"/>
      <c r="D171" s="19"/>
      <c r="E171" s="19"/>
      <c r="F171" s="19"/>
      <c r="G171" s="19"/>
      <c r="H171" s="19"/>
      <c r="I171" s="19"/>
      <c r="J171" s="19"/>
      <c r="K171" s="19"/>
      <c r="L171" s="19"/>
      <c r="M171" s="19"/>
      <c r="N171" s="19"/>
      <c r="O171" s="19"/>
      <c r="P171" s="19"/>
    </row>
    <row r="172" spans="1:16" ht="16.899999999999999">
      <c r="A172" s="19"/>
      <c r="B172" s="18"/>
      <c r="C172" s="19"/>
      <c r="D172" s="19"/>
      <c r="E172" s="19"/>
      <c r="F172" s="19"/>
      <c r="G172" s="19"/>
      <c r="H172" s="19"/>
      <c r="I172" s="19"/>
      <c r="J172" s="19"/>
      <c r="K172" s="19"/>
      <c r="L172" s="19"/>
      <c r="M172" s="19"/>
      <c r="N172" s="19"/>
      <c r="O172" s="19"/>
      <c r="P172" s="19"/>
    </row>
    <row r="173" spans="1:16" ht="16.899999999999999">
      <c r="A173" s="19"/>
      <c r="B173" s="18"/>
      <c r="C173" s="19"/>
      <c r="D173" s="19"/>
      <c r="E173" s="19"/>
      <c r="F173" s="19"/>
      <c r="G173" s="19"/>
      <c r="H173" s="19"/>
      <c r="I173" s="19"/>
      <c r="J173" s="19"/>
      <c r="K173" s="19"/>
      <c r="L173" s="19"/>
      <c r="M173" s="19"/>
      <c r="N173" s="19"/>
      <c r="O173" s="19"/>
      <c r="P173" s="19"/>
    </row>
    <row r="174" spans="1:16" ht="16.899999999999999">
      <c r="A174" s="19"/>
      <c r="B174" s="18"/>
      <c r="C174" s="19"/>
      <c r="D174" s="19"/>
      <c r="E174" s="19"/>
      <c r="F174" s="19"/>
      <c r="G174" s="19"/>
      <c r="H174" s="19"/>
      <c r="I174" s="19"/>
      <c r="J174" s="19"/>
      <c r="K174" s="19"/>
      <c r="L174" s="19"/>
      <c r="M174" s="19"/>
      <c r="N174" s="19"/>
      <c r="O174" s="19"/>
      <c r="P174" s="19"/>
    </row>
    <row r="175" spans="1:16" ht="16.899999999999999">
      <c r="A175" s="19"/>
      <c r="B175" s="18"/>
      <c r="C175" s="19"/>
      <c r="D175" s="19"/>
      <c r="E175" s="19"/>
      <c r="F175" s="19"/>
      <c r="G175" s="19"/>
      <c r="H175" s="19"/>
      <c r="I175" s="19"/>
      <c r="J175" s="19"/>
      <c r="K175" s="19"/>
      <c r="L175" s="19"/>
      <c r="M175" s="19"/>
      <c r="N175" s="19"/>
      <c r="O175" s="19"/>
      <c r="P175" s="19"/>
    </row>
    <row r="176" spans="1:16" ht="16.899999999999999">
      <c r="A176" s="19"/>
      <c r="B176" s="18"/>
      <c r="C176" s="19"/>
      <c r="D176" s="19"/>
      <c r="E176" s="19"/>
      <c r="F176" s="19"/>
      <c r="G176" s="19"/>
      <c r="H176" s="19"/>
      <c r="I176" s="19"/>
      <c r="J176" s="19"/>
      <c r="K176" s="19"/>
      <c r="L176" s="19"/>
      <c r="M176" s="19"/>
      <c r="N176" s="19"/>
      <c r="O176" s="19"/>
      <c r="P176" s="19"/>
    </row>
    <row r="177" spans="1:16" ht="16.899999999999999">
      <c r="A177" s="19"/>
      <c r="B177" s="18"/>
      <c r="C177" s="19"/>
      <c r="D177" s="19"/>
      <c r="E177" s="19"/>
      <c r="F177" s="19"/>
      <c r="G177" s="19"/>
      <c r="H177" s="19"/>
      <c r="I177" s="19"/>
      <c r="J177" s="19"/>
      <c r="K177" s="19"/>
      <c r="L177" s="19"/>
      <c r="M177" s="19"/>
      <c r="N177" s="19"/>
      <c r="O177" s="19"/>
      <c r="P177" s="19"/>
    </row>
    <row r="178" spans="1:16" ht="16.899999999999999">
      <c r="A178" s="19"/>
      <c r="B178" s="18"/>
      <c r="C178" s="19"/>
      <c r="D178" s="19"/>
      <c r="E178" s="19"/>
      <c r="F178" s="19"/>
      <c r="G178" s="19"/>
      <c r="H178" s="19"/>
      <c r="I178" s="19"/>
      <c r="J178" s="19"/>
      <c r="K178" s="19"/>
      <c r="L178" s="19"/>
      <c r="M178" s="19"/>
      <c r="N178" s="19"/>
      <c r="O178" s="19"/>
      <c r="P178" s="19"/>
    </row>
    <row r="179" spans="1:16" ht="16.899999999999999">
      <c r="A179" s="19"/>
      <c r="B179" s="18"/>
      <c r="C179" s="19"/>
      <c r="D179" s="19"/>
      <c r="E179" s="19"/>
      <c r="F179" s="19"/>
      <c r="G179" s="19"/>
      <c r="H179" s="19"/>
      <c r="I179" s="19"/>
      <c r="J179" s="19"/>
      <c r="K179" s="19"/>
      <c r="L179" s="19"/>
      <c r="M179" s="19"/>
      <c r="N179" s="19"/>
      <c r="O179" s="19"/>
      <c r="P179" s="19"/>
    </row>
    <row r="180" spans="1:16" ht="16.899999999999999">
      <c r="A180" s="19"/>
      <c r="B180" s="18"/>
      <c r="C180" s="19"/>
      <c r="D180" s="19"/>
      <c r="E180" s="19"/>
      <c r="F180" s="19"/>
      <c r="G180" s="19"/>
      <c r="H180" s="19"/>
      <c r="I180" s="19"/>
      <c r="J180" s="19"/>
      <c r="K180" s="19"/>
      <c r="L180" s="19"/>
      <c r="M180" s="19"/>
      <c r="N180" s="19"/>
      <c r="O180" s="19"/>
      <c r="P180" s="19"/>
    </row>
    <row r="181" spans="1:16" ht="16.899999999999999">
      <c r="A181" s="19"/>
      <c r="B181" s="18"/>
      <c r="C181" s="19"/>
      <c r="D181" s="19"/>
      <c r="E181" s="19"/>
      <c r="F181" s="19"/>
      <c r="G181" s="19"/>
      <c r="H181" s="19"/>
      <c r="I181" s="19"/>
      <c r="J181" s="19"/>
      <c r="K181" s="19"/>
      <c r="L181" s="19"/>
      <c r="M181" s="19"/>
      <c r="N181" s="19"/>
      <c r="O181" s="19"/>
      <c r="P181" s="19"/>
    </row>
    <row r="182" spans="1:16" ht="16.899999999999999">
      <c r="A182" s="19"/>
      <c r="B182" s="18"/>
      <c r="C182" s="19"/>
      <c r="D182" s="19"/>
      <c r="E182" s="19"/>
      <c r="F182" s="19"/>
      <c r="G182" s="19"/>
      <c r="H182" s="19"/>
      <c r="I182" s="19"/>
      <c r="J182" s="19"/>
      <c r="K182" s="19"/>
      <c r="L182" s="19"/>
      <c r="M182" s="19"/>
      <c r="N182" s="19"/>
      <c r="O182" s="19"/>
      <c r="P182" s="19"/>
    </row>
    <row r="183" spans="1:16" ht="16.899999999999999">
      <c r="A183" s="19"/>
      <c r="B183" s="18"/>
      <c r="C183" s="19"/>
      <c r="D183" s="19"/>
      <c r="E183" s="19"/>
      <c r="F183" s="19"/>
      <c r="G183" s="19"/>
      <c r="H183" s="19"/>
      <c r="I183" s="19"/>
      <c r="J183" s="19"/>
      <c r="K183" s="19"/>
      <c r="L183" s="19"/>
      <c r="M183" s="19"/>
      <c r="N183" s="19"/>
      <c r="O183" s="19"/>
      <c r="P183" s="19"/>
    </row>
    <row r="184" spans="1:16" ht="16.899999999999999">
      <c r="A184" s="19"/>
      <c r="B184" s="18"/>
      <c r="C184" s="19"/>
      <c r="D184" s="19"/>
      <c r="E184" s="19"/>
      <c r="F184" s="19"/>
      <c r="G184" s="19"/>
      <c r="H184" s="19"/>
      <c r="I184" s="19"/>
      <c r="J184" s="19"/>
      <c r="K184" s="19"/>
      <c r="L184" s="19"/>
      <c r="M184" s="19"/>
      <c r="N184" s="19"/>
      <c r="O184" s="19"/>
      <c r="P184" s="19"/>
    </row>
    <row r="185" spans="1:16" ht="16.899999999999999">
      <c r="A185" s="19"/>
      <c r="B185" s="18"/>
      <c r="C185" s="19"/>
      <c r="D185" s="19"/>
      <c r="E185" s="19"/>
      <c r="F185" s="19"/>
      <c r="G185" s="19"/>
      <c r="H185" s="19"/>
      <c r="I185" s="19"/>
      <c r="J185" s="19"/>
      <c r="K185" s="19"/>
      <c r="L185" s="19"/>
      <c r="M185" s="19"/>
      <c r="N185" s="19"/>
      <c r="O185" s="19"/>
      <c r="P185" s="19"/>
    </row>
    <row r="186" spans="1:16" ht="16.899999999999999">
      <c r="A186" s="19"/>
      <c r="B186" s="18"/>
      <c r="C186" s="19"/>
      <c r="D186" s="19"/>
      <c r="E186" s="19"/>
      <c r="F186" s="19"/>
      <c r="G186" s="19"/>
      <c r="H186" s="19"/>
      <c r="I186" s="19"/>
      <c r="J186" s="19"/>
      <c r="K186" s="19"/>
      <c r="L186" s="19"/>
      <c r="M186" s="19"/>
      <c r="N186" s="19"/>
      <c r="O186" s="19"/>
      <c r="P186" s="19"/>
    </row>
    <row r="187" spans="1:16" ht="16.899999999999999">
      <c r="A187" s="19"/>
      <c r="B187" s="18"/>
      <c r="C187" s="19"/>
      <c r="D187" s="19"/>
      <c r="E187" s="19"/>
      <c r="F187" s="19"/>
      <c r="G187" s="19"/>
      <c r="H187" s="19"/>
      <c r="I187" s="19"/>
      <c r="J187" s="19"/>
      <c r="K187" s="19"/>
      <c r="L187" s="19"/>
      <c r="M187" s="19"/>
      <c r="N187" s="19"/>
      <c r="O187" s="19"/>
      <c r="P187" s="19"/>
    </row>
    <row r="188" spans="1:16" ht="16.899999999999999">
      <c r="A188" s="19"/>
      <c r="B188" s="18"/>
      <c r="C188" s="19"/>
      <c r="D188" s="19"/>
      <c r="E188" s="19"/>
      <c r="F188" s="19"/>
      <c r="G188" s="19"/>
      <c r="H188" s="19"/>
      <c r="I188" s="19"/>
      <c r="J188" s="19"/>
      <c r="K188" s="19"/>
      <c r="L188" s="19"/>
      <c r="M188" s="19"/>
      <c r="N188" s="19"/>
      <c r="O188" s="19"/>
      <c r="P188" s="19"/>
    </row>
    <row r="189" spans="1:16" ht="16.899999999999999">
      <c r="A189" s="19"/>
      <c r="B189" s="18"/>
      <c r="C189" s="19"/>
      <c r="D189" s="19"/>
      <c r="E189" s="19"/>
      <c r="F189" s="19"/>
      <c r="G189" s="19"/>
      <c r="H189" s="19"/>
      <c r="I189" s="19"/>
      <c r="J189" s="19"/>
      <c r="K189" s="19"/>
      <c r="L189" s="19"/>
      <c r="M189" s="19"/>
      <c r="N189" s="19"/>
      <c r="O189" s="19"/>
      <c r="P189" s="19"/>
    </row>
    <row r="190" spans="1:16" ht="16.899999999999999">
      <c r="A190" s="19"/>
      <c r="B190" s="18"/>
      <c r="C190" s="19"/>
      <c r="D190" s="19"/>
      <c r="E190" s="19"/>
      <c r="F190" s="19"/>
      <c r="G190" s="19"/>
      <c r="H190" s="19"/>
      <c r="I190" s="19"/>
      <c r="J190" s="19"/>
      <c r="K190" s="19"/>
      <c r="L190" s="19"/>
      <c r="M190" s="19"/>
      <c r="N190" s="19"/>
      <c r="O190" s="19"/>
      <c r="P190" s="19"/>
    </row>
    <row r="191" spans="1:16" ht="16.899999999999999">
      <c r="A191" s="19"/>
      <c r="B191" s="18"/>
      <c r="C191" s="19"/>
      <c r="D191" s="19"/>
      <c r="E191" s="19"/>
      <c r="F191" s="19"/>
      <c r="G191" s="19"/>
      <c r="H191" s="19"/>
      <c r="I191" s="19"/>
      <c r="J191" s="19"/>
      <c r="K191" s="19"/>
      <c r="L191" s="19"/>
      <c r="M191" s="19"/>
      <c r="N191" s="19"/>
      <c r="O191" s="19"/>
      <c r="P191" s="19"/>
    </row>
    <row r="192" spans="1:16" ht="16.899999999999999">
      <c r="A192" s="19"/>
      <c r="B192" s="18"/>
      <c r="C192" s="19"/>
      <c r="D192" s="19"/>
      <c r="E192" s="19"/>
      <c r="F192" s="19"/>
      <c r="G192" s="19"/>
      <c r="H192" s="19"/>
      <c r="I192" s="19"/>
      <c r="J192" s="19"/>
      <c r="K192" s="19"/>
      <c r="L192" s="19"/>
      <c r="M192" s="19"/>
      <c r="N192" s="19"/>
      <c r="O192" s="19"/>
      <c r="P192" s="19"/>
    </row>
    <row r="193" spans="1:16" ht="16.899999999999999">
      <c r="A193" s="19"/>
      <c r="B193" s="18"/>
      <c r="C193" s="19"/>
      <c r="D193" s="19"/>
      <c r="E193" s="19"/>
      <c r="F193" s="19"/>
      <c r="G193" s="19"/>
      <c r="H193" s="19"/>
      <c r="I193" s="19"/>
      <c r="J193" s="19"/>
      <c r="K193" s="19"/>
      <c r="L193" s="19"/>
      <c r="M193" s="19"/>
      <c r="N193" s="19"/>
      <c r="O193" s="19"/>
      <c r="P193" s="19"/>
    </row>
    <row r="194" spans="1:16" ht="16.899999999999999">
      <c r="A194" s="19"/>
      <c r="B194" s="18"/>
      <c r="C194" s="19"/>
      <c r="D194" s="19"/>
      <c r="E194" s="19"/>
      <c r="F194" s="19"/>
      <c r="G194" s="19"/>
      <c r="H194" s="19"/>
      <c r="I194" s="19"/>
      <c r="J194" s="19"/>
      <c r="K194" s="19"/>
      <c r="L194" s="19"/>
      <c r="M194" s="19"/>
      <c r="N194" s="19"/>
      <c r="O194" s="19"/>
      <c r="P194" s="19"/>
    </row>
    <row r="195" spans="1:16" ht="16.899999999999999">
      <c r="A195" s="19"/>
      <c r="B195" s="18"/>
      <c r="C195" s="19"/>
      <c r="D195" s="19"/>
      <c r="E195" s="19"/>
      <c r="F195" s="19"/>
      <c r="G195" s="19"/>
      <c r="H195" s="19"/>
      <c r="I195" s="19"/>
      <c r="J195" s="19"/>
      <c r="K195" s="19"/>
      <c r="L195" s="19"/>
      <c r="M195" s="19"/>
      <c r="N195" s="19"/>
      <c r="O195" s="19"/>
      <c r="P195" s="19"/>
    </row>
    <row r="196" spans="1:16" ht="16.899999999999999">
      <c r="A196" s="19"/>
      <c r="B196" s="18"/>
      <c r="C196" s="19"/>
      <c r="D196" s="19"/>
      <c r="E196" s="19"/>
      <c r="F196" s="19"/>
      <c r="G196" s="19"/>
      <c r="H196" s="19"/>
      <c r="I196" s="19"/>
      <c r="J196" s="19"/>
      <c r="K196" s="19"/>
      <c r="L196" s="19"/>
      <c r="M196" s="19"/>
      <c r="N196" s="19"/>
      <c r="O196" s="19"/>
      <c r="P196" s="19"/>
    </row>
    <row r="197" spans="1:16" ht="16.899999999999999">
      <c r="A197" s="19"/>
      <c r="B197" s="18"/>
      <c r="C197" s="19"/>
      <c r="D197" s="19"/>
      <c r="E197" s="19"/>
      <c r="F197" s="19"/>
      <c r="G197" s="19"/>
      <c r="H197" s="19"/>
      <c r="I197" s="19"/>
      <c r="J197" s="19"/>
      <c r="K197" s="19"/>
      <c r="L197" s="19"/>
      <c r="M197" s="19"/>
      <c r="N197" s="19"/>
      <c r="O197" s="19"/>
      <c r="P197" s="19"/>
    </row>
    <row r="198" spans="1:16" ht="16.899999999999999">
      <c r="A198" s="19"/>
      <c r="B198" s="18"/>
      <c r="C198" s="19"/>
      <c r="D198" s="19"/>
      <c r="E198" s="19"/>
      <c r="F198" s="19"/>
      <c r="G198" s="19"/>
      <c r="H198" s="19"/>
      <c r="I198" s="19"/>
      <c r="J198" s="19"/>
      <c r="K198" s="19"/>
      <c r="L198" s="19"/>
      <c r="M198" s="19"/>
      <c r="N198" s="19"/>
      <c r="O198" s="19"/>
      <c r="P198" s="19"/>
    </row>
    <row r="199" spans="1:16" ht="16.899999999999999">
      <c r="A199" s="19"/>
      <c r="B199" s="18"/>
      <c r="C199" s="19"/>
      <c r="D199" s="19"/>
      <c r="E199" s="19"/>
      <c r="F199" s="19"/>
      <c r="G199" s="19"/>
      <c r="H199" s="19"/>
      <c r="I199" s="19"/>
      <c r="J199" s="19"/>
      <c r="K199" s="19"/>
      <c r="L199" s="19"/>
      <c r="M199" s="19"/>
      <c r="N199" s="19"/>
      <c r="O199" s="19"/>
      <c r="P199" s="19"/>
    </row>
    <row r="200" spans="1:16" ht="16.899999999999999">
      <c r="A200" s="19"/>
      <c r="B200" s="18"/>
      <c r="C200" s="19"/>
      <c r="D200" s="19"/>
      <c r="E200" s="19"/>
      <c r="F200" s="19"/>
      <c r="G200" s="19"/>
      <c r="H200" s="19"/>
      <c r="I200" s="19"/>
      <c r="J200" s="19"/>
      <c r="K200" s="19"/>
      <c r="L200" s="19"/>
      <c r="M200" s="19"/>
      <c r="N200" s="19"/>
      <c r="O200" s="19"/>
      <c r="P200" s="19"/>
    </row>
    <row r="201" spans="1:16" ht="16.899999999999999">
      <c r="A201" s="19"/>
      <c r="B201" s="18"/>
      <c r="C201" s="19"/>
      <c r="D201" s="19"/>
      <c r="E201" s="19"/>
      <c r="F201" s="19"/>
      <c r="G201" s="19"/>
      <c r="H201" s="19"/>
      <c r="I201" s="19"/>
      <c r="J201" s="19"/>
      <c r="K201" s="19"/>
      <c r="L201" s="19"/>
      <c r="M201" s="19"/>
      <c r="N201" s="19"/>
      <c r="O201" s="19"/>
      <c r="P201" s="19"/>
    </row>
    <row r="202" spans="1:16" ht="16.899999999999999">
      <c r="A202" s="19"/>
      <c r="B202" s="18"/>
      <c r="C202" s="19"/>
      <c r="D202" s="19"/>
      <c r="E202" s="19"/>
      <c r="F202" s="19"/>
      <c r="G202" s="19"/>
      <c r="H202" s="19"/>
      <c r="I202" s="19"/>
      <c r="J202" s="19"/>
      <c r="K202" s="19"/>
      <c r="L202" s="19"/>
      <c r="M202" s="19"/>
      <c r="N202" s="19"/>
      <c r="O202" s="19"/>
      <c r="P202" s="19"/>
    </row>
    <row r="203" spans="1:16" ht="16.899999999999999">
      <c r="A203" s="19"/>
      <c r="B203" s="18"/>
      <c r="C203" s="19"/>
      <c r="D203" s="19"/>
      <c r="E203" s="19"/>
      <c r="F203" s="19"/>
      <c r="G203" s="19"/>
      <c r="H203" s="19"/>
      <c r="I203" s="19"/>
      <c r="J203" s="19"/>
      <c r="K203" s="19"/>
      <c r="L203" s="19"/>
      <c r="M203" s="19"/>
      <c r="N203" s="19"/>
      <c r="O203" s="19"/>
      <c r="P203" s="19"/>
    </row>
    <row r="204" spans="1:16" ht="16.899999999999999">
      <c r="A204" s="19"/>
      <c r="B204" s="18"/>
      <c r="C204" s="19"/>
      <c r="D204" s="19"/>
      <c r="E204" s="19"/>
      <c r="F204" s="19"/>
      <c r="G204" s="19"/>
      <c r="H204" s="19"/>
      <c r="I204" s="19"/>
      <c r="J204" s="19"/>
      <c r="K204" s="19"/>
      <c r="L204" s="19"/>
      <c r="M204" s="19"/>
      <c r="N204" s="19"/>
      <c r="O204" s="19"/>
      <c r="P204" s="19"/>
    </row>
    <row r="205" spans="1:16" ht="16.899999999999999">
      <c r="A205" s="19"/>
      <c r="B205" s="18"/>
      <c r="C205" s="19"/>
      <c r="D205" s="19"/>
      <c r="E205" s="19"/>
      <c r="F205" s="19"/>
      <c r="G205" s="19"/>
      <c r="H205" s="19"/>
      <c r="I205" s="19"/>
      <c r="J205" s="19"/>
      <c r="K205" s="19"/>
      <c r="L205" s="19"/>
      <c r="M205" s="19"/>
      <c r="N205" s="19"/>
      <c r="O205" s="19"/>
      <c r="P205" s="19"/>
    </row>
    <row r="206" spans="1:16" ht="16.899999999999999">
      <c r="A206" s="19"/>
      <c r="B206" s="18"/>
      <c r="C206" s="19"/>
      <c r="D206" s="19"/>
      <c r="E206" s="19"/>
      <c r="F206" s="19"/>
      <c r="G206" s="19"/>
      <c r="H206" s="19"/>
      <c r="I206" s="19"/>
      <c r="J206" s="19"/>
      <c r="K206" s="19"/>
      <c r="L206" s="19"/>
      <c r="M206" s="19"/>
      <c r="N206" s="19"/>
      <c r="O206" s="19"/>
      <c r="P206" s="19"/>
    </row>
    <row r="207" spans="1:16" ht="16.899999999999999">
      <c r="A207" s="19"/>
      <c r="B207" s="18"/>
      <c r="C207" s="19"/>
      <c r="D207" s="19"/>
      <c r="E207" s="19"/>
      <c r="F207" s="19"/>
      <c r="G207" s="19"/>
      <c r="H207" s="19"/>
      <c r="I207" s="19"/>
      <c r="J207" s="19"/>
      <c r="K207" s="19"/>
      <c r="L207" s="19"/>
      <c r="M207" s="19"/>
      <c r="N207" s="19"/>
      <c r="O207" s="19"/>
      <c r="P207" s="19"/>
    </row>
    <row r="208" spans="1:16" ht="16.899999999999999">
      <c r="A208" s="19"/>
      <c r="B208" s="18"/>
      <c r="C208" s="19"/>
      <c r="D208" s="19"/>
      <c r="E208" s="19"/>
      <c r="F208" s="19"/>
      <c r="G208" s="19"/>
      <c r="H208" s="19"/>
      <c r="I208" s="19"/>
      <c r="J208" s="19"/>
      <c r="K208" s="19"/>
      <c r="L208" s="19"/>
      <c r="M208" s="19"/>
      <c r="N208" s="19"/>
      <c r="O208" s="19"/>
      <c r="P208" s="19"/>
    </row>
    <row r="209" spans="1:16" ht="16.899999999999999">
      <c r="A209" s="19"/>
      <c r="B209" s="18"/>
      <c r="C209" s="19"/>
      <c r="D209" s="19"/>
      <c r="E209" s="19"/>
      <c r="F209" s="19"/>
      <c r="G209" s="19"/>
      <c r="H209" s="19"/>
      <c r="I209" s="19"/>
      <c r="J209" s="19"/>
      <c r="K209" s="19"/>
      <c r="L209" s="19"/>
      <c r="M209" s="19"/>
      <c r="N209" s="19"/>
      <c r="O209" s="19"/>
      <c r="P209" s="19"/>
    </row>
    <row r="210" spans="1:16" ht="16.899999999999999">
      <c r="A210" s="19"/>
      <c r="B210" s="18"/>
      <c r="C210" s="19"/>
      <c r="D210" s="19"/>
      <c r="E210" s="19"/>
      <c r="F210" s="19"/>
      <c r="G210" s="19"/>
      <c r="H210" s="19"/>
      <c r="I210" s="19"/>
      <c r="J210" s="19"/>
      <c r="K210" s="19"/>
      <c r="L210" s="19"/>
      <c r="M210" s="19"/>
      <c r="N210" s="19"/>
      <c r="O210" s="19"/>
      <c r="P210" s="19"/>
    </row>
    <row r="211" spans="1:16" ht="16.899999999999999">
      <c r="A211" s="19"/>
      <c r="B211" s="18"/>
      <c r="C211" s="19"/>
      <c r="D211" s="19"/>
      <c r="E211" s="19"/>
      <c r="F211" s="19"/>
      <c r="G211" s="19"/>
      <c r="H211" s="19"/>
      <c r="I211" s="19"/>
      <c r="J211" s="19"/>
      <c r="K211" s="19"/>
      <c r="L211" s="19"/>
      <c r="M211" s="19"/>
      <c r="N211" s="19"/>
      <c r="O211" s="19"/>
      <c r="P211" s="19"/>
    </row>
    <row r="212" spans="1:16" ht="16.899999999999999">
      <c r="A212" s="19"/>
      <c r="B212" s="18"/>
      <c r="C212" s="19"/>
      <c r="D212" s="19"/>
      <c r="E212" s="19"/>
      <c r="F212" s="19"/>
      <c r="G212" s="19"/>
      <c r="H212" s="19"/>
      <c r="I212" s="19"/>
      <c r="J212" s="19"/>
      <c r="K212" s="19"/>
      <c r="L212" s="19"/>
      <c r="M212" s="19"/>
      <c r="N212" s="19"/>
      <c r="O212" s="19"/>
      <c r="P212" s="19"/>
    </row>
    <row r="213" spans="1:16" ht="16.899999999999999">
      <c r="A213" s="19"/>
      <c r="B213" s="18"/>
      <c r="C213" s="19"/>
      <c r="D213" s="19"/>
      <c r="E213" s="19"/>
      <c r="F213" s="19"/>
      <c r="G213" s="19"/>
      <c r="H213" s="19"/>
      <c r="I213" s="19"/>
      <c r="J213" s="19"/>
      <c r="K213" s="19"/>
      <c r="L213" s="19"/>
      <c r="M213" s="19"/>
      <c r="N213" s="19"/>
      <c r="O213" s="19"/>
      <c r="P213" s="19"/>
    </row>
    <row r="214" spans="1:16" ht="16.899999999999999">
      <c r="A214" s="19"/>
      <c r="B214" s="18"/>
      <c r="C214" s="19"/>
      <c r="D214" s="19"/>
      <c r="E214" s="19"/>
      <c r="F214" s="19"/>
      <c r="G214" s="19"/>
      <c r="H214" s="19"/>
      <c r="I214" s="19"/>
      <c r="J214" s="19"/>
      <c r="K214" s="19"/>
      <c r="L214" s="19"/>
      <c r="M214" s="19"/>
      <c r="N214" s="19"/>
      <c r="O214" s="19"/>
      <c r="P214" s="19"/>
    </row>
    <row r="215" spans="1:16" ht="16.899999999999999">
      <c r="A215" s="19"/>
      <c r="B215" s="18"/>
      <c r="C215" s="19"/>
      <c r="D215" s="19"/>
      <c r="E215" s="19"/>
      <c r="F215" s="19"/>
      <c r="G215" s="19"/>
      <c r="H215" s="19"/>
      <c r="I215" s="19"/>
      <c r="J215" s="19"/>
      <c r="K215" s="19"/>
      <c r="L215" s="19"/>
      <c r="M215" s="19"/>
      <c r="N215" s="19"/>
      <c r="O215" s="19"/>
      <c r="P215" s="19"/>
    </row>
    <row r="216" spans="1:16" ht="16.899999999999999">
      <c r="A216" s="19"/>
      <c r="B216" s="18"/>
      <c r="C216" s="19"/>
      <c r="D216" s="19"/>
      <c r="E216" s="19"/>
      <c r="F216" s="19"/>
      <c r="G216" s="19"/>
      <c r="H216" s="19"/>
      <c r="I216" s="19"/>
      <c r="J216" s="19"/>
      <c r="K216" s="19"/>
      <c r="L216" s="19"/>
      <c r="M216" s="19"/>
      <c r="N216" s="19"/>
      <c r="O216" s="19"/>
      <c r="P216" s="19"/>
    </row>
    <row r="217" spans="1:16" ht="16.899999999999999">
      <c r="A217" s="19"/>
      <c r="B217" s="18"/>
      <c r="C217" s="19"/>
      <c r="D217" s="19"/>
      <c r="E217" s="19"/>
      <c r="F217" s="19"/>
      <c r="G217" s="19"/>
      <c r="H217" s="19"/>
      <c r="I217" s="19"/>
      <c r="J217" s="19"/>
      <c r="K217" s="19"/>
      <c r="L217" s="19"/>
      <c r="M217" s="19"/>
      <c r="N217" s="19"/>
      <c r="O217" s="19"/>
      <c r="P217" s="19"/>
    </row>
    <row r="218" spans="1:16" ht="16.899999999999999">
      <c r="A218" s="19"/>
      <c r="B218" s="18"/>
      <c r="C218" s="19"/>
      <c r="D218" s="19"/>
      <c r="E218" s="19"/>
      <c r="F218" s="19"/>
      <c r="G218" s="19"/>
      <c r="H218" s="19"/>
      <c r="I218" s="19"/>
      <c r="J218" s="19"/>
      <c r="K218" s="19"/>
      <c r="L218" s="19"/>
      <c r="M218" s="19"/>
      <c r="N218" s="19"/>
      <c r="O218" s="19"/>
      <c r="P218" s="19"/>
    </row>
    <row r="219" spans="1:16" ht="16.899999999999999">
      <c r="A219" s="19"/>
      <c r="B219" s="18"/>
      <c r="C219" s="19"/>
      <c r="D219" s="19"/>
      <c r="E219" s="19"/>
      <c r="F219" s="19"/>
      <c r="G219" s="19"/>
      <c r="H219" s="19"/>
      <c r="I219" s="19"/>
      <c r="J219" s="19"/>
      <c r="K219" s="19"/>
      <c r="L219" s="19"/>
      <c r="M219" s="19"/>
      <c r="N219" s="19"/>
      <c r="O219" s="19"/>
      <c r="P219" s="19"/>
    </row>
    <row r="220" spans="1:16" ht="16.899999999999999">
      <c r="A220" s="19"/>
      <c r="B220" s="18"/>
      <c r="C220" s="19"/>
      <c r="D220" s="19"/>
      <c r="E220" s="19"/>
      <c r="F220" s="19"/>
      <c r="G220" s="19"/>
      <c r="H220" s="19"/>
      <c r="I220" s="19"/>
      <c r="J220" s="19"/>
      <c r="K220" s="19"/>
      <c r="L220" s="19"/>
      <c r="M220" s="19"/>
      <c r="N220" s="19"/>
      <c r="O220" s="19"/>
      <c r="P220" s="19"/>
    </row>
    <row r="221" spans="1:16" ht="16.899999999999999">
      <c r="A221" s="19"/>
      <c r="B221" s="18"/>
      <c r="C221" s="19"/>
      <c r="D221" s="19"/>
      <c r="E221" s="19"/>
      <c r="F221" s="19"/>
      <c r="G221" s="19"/>
      <c r="H221" s="19"/>
      <c r="I221" s="19"/>
      <c r="J221" s="19"/>
      <c r="K221" s="19"/>
      <c r="L221" s="19"/>
      <c r="M221" s="19"/>
      <c r="N221" s="19"/>
      <c r="O221" s="19"/>
      <c r="P221" s="19"/>
    </row>
    <row r="222" spans="1:16" ht="16.899999999999999">
      <c r="A222" s="19"/>
      <c r="B222" s="18"/>
      <c r="C222" s="19"/>
      <c r="D222" s="19"/>
      <c r="E222" s="19"/>
      <c r="F222" s="19"/>
      <c r="G222" s="19"/>
      <c r="H222" s="19"/>
      <c r="I222" s="19"/>
      <c r="J222" s="19"/>
      <c r="K222" s="19"/>
      <c r="L222" s="19"/>
      <c r="M222" s="19"/>
      <c r="N222" s="19"/>
      <c r="O222" s="19"/>
      <c r="P222" s="19"/>
    </row>
    <row r="223" spans="1:16" ht="16.899999999999999">
      <c r="A223" s="19"/>
      <c r="B223" s="18"/>
      <c r="C223" s="19"/>
      <c r="D223" s="19"/>
      <c r="E223" s="19"/>
      <c r="F223" s="19"/>
      <c r="G223" s="19"/>
      <c r="H223" s="19"/>
      <c r="I223" s="19"/>
      <c r="J223" s="19"/>
      <c r="K223" s="19"/>
      <c r="L223" s="19"/>
      <c r="M223" s="19"/>
      <c r="N223" s="19"/>
      <c r="O223" s="19"/>
      <c r="P223" s="19"/>
    </row>
    <row r="224" spans="1:16" ht="16.899999999999999">
      <c r="A224" s="19"/>
      <c r="B224" s="18"/>
      <c r="C224" s="19"/>
      <c r="D224" s="19"/>
      <c r="E224" s="19"/>
      <c r="F224" s="19"/>
      <c r="G224" s="19"/>
      <c r="H224" s="19"/>
      <c r="I224" s="19"/>
      <c r="J224" s="19"/>
      <c r="K224" s="19"/>
      <c r="L224" s="19"/>
      <c r="M224" s="19"/>
      <c r="N224" s="19"/>
      <c r="O224" s="19"/>
      <c r="P224" s="19"/>
    </row>
    <row r="225" spans="1:16" ht="16.899999999999999">
      <c r="A225" s="19"/>
      <c r="B225" s="18"/>
      <c r="C225" s="19"/>
      <c r="D225" s="19"/>
      <c r="E225" s="19"/>
      <c r="F225" s="19"/>
      <c r="G225" s="19"/>
      <c r="H225" s="19"/>
      <c r="I225" s="19"/>
      <c r="J225" s="19"/>
      <c r="K225" s="19"/>
      <c r="L225" s="19"/>
      <c r="M225" s="19"/>
      <c r="N225" s="19"/>
      <c r="O225" s="19"/>
      <c r="P225" s="19"/>
    </row>
    <row r="226" spans="1:16" ht="16.899999999999999">
      <c r="A226" s="19"/>
      <c r="B226" s="18"/>
      <c r="C226" s="19"/>
      <c r="D226" s="19"/>
      <c r="E226" s="19"/>
      <c r="F226" s="19"/>
      <c r="G226" s="19"/>
      <c r="H226" s="19"/>
      <c r="I226" s="19"/>
      <c r="J226" s="19"/>
      <c r="K226" s="19"/>
      <c r="L226" s="19"/>
      <c r="M226" s="19"/>
      <c r="N226" s="19"/>
      <c r="O226" s="19"/>
      <c r="P226" s="19"/>
    </row>
    <row r="227" spans="1:16" ht="16.899999999999999">
      <c r="A227" s="19"/>
      <c r="B227" s="18"/>
      <c r="C227" s="19"/>
      <c r="D227" s="19"/>
      <c r="E227" s="19"/>
      <c r="F227" s="19"/>
      <c r="G227" s="19"/>
      <c r="H227" s="19"/>
      <c r="I227" s="19"/>
      <c r="J227" s="19"/>
      <c r="K227" s="19"/>
      <c r="L227" s="19"/>
      <c r="M227" s="19"/>
      <c r="N227" s="19"/>
      <c r="O227" s="19"/>
      <c r="P227" s="19"/>
    </row>
    <row r="228" spans="1:16" ht="16.899999999999999">
      <c r="A228" s="19"/>
      <c r="B228" s="18"/>
      <c r="C228" s="19"/>
      <c r="D228" s="19"/>
      <c r="E228" s="19"/>
      <c r="F228" s="19"/>
      <c r="G228" s="19"/>
      <c r="H228" s="19"/>
      <c r="I228" s="19"/>
      <c r="J228" s="19"/>
      <c r="K228" s="19"/>
      <c r="L228" s="19"/>
      <c r="M228" s="19"/>
      <c r="N228" s="19"/>
      <c r="O228" s="19"/>
      <c r="P228" s="19"/>
    </row>
    <row r="229" spans="1:16" ht="16.899999999999999">
      <c r="A229" s="19"/>
      <c r="B229" s="18"/>
      <c r="C229" s="19"/>
      <c r="D229" s="19"/>
      <c r="E229" s="19"/>
      <c r="F229" s="19"/>
      <c r="G229" s="19"/>
      <c r="H229" s="19"/>
      <c r="I229" s="19"/>
      <c r="J229" s="19"/>
      <c r="K229" s="19"/>
      <c r="L229" s="19"/>
      <c r="M229" s="19"/>
      <c r="N229" s="19"/>
      <c r="O229" s="19"/>
      <c r="P229" s="19"/>
    </row>
    <row r="230" spans="1:16" ht="16.899999999999999">
      <c r="A230" s="19"/>
      <c r="B230" s="18"/>
      <c r="C230" s="19"/>
      <c r="D230" s="19"/>
      <c r="E230" s="19"/>
      <c r="F230" s="19"/>
      <c r="G230" s="19"/>
      <c r="H230" s="19"/>
      <c r="I230" s="19"/>
      <c r="J230" s="19"/>
      <c r="K230" s="19"/>
      <c r="L230" s="19"/>
      <c r="M230" s="19"/>
      <c r="N230" s="19"/>
      <c r="O230" s="19"/>
      <c r="P230" s="19"/>
    </row>
    <row r="231" spans="1:16" ht="16.899999999999999">
      <c r="A231" s="19"/>
      <c r="B231" s="18"/>
      <c r="C231" s="19"/>
      <c r="D231" s="19"/>
      <c r="E231" s="19"/>
      <c r="F231" s="19"/>
      <c r="G231" s="19"/>
      <c r="H231" s="19"/>
      <c r="I231" s="19"/>
      <c r="J231" s="19"/>
      <c r="K231" s="19"/>
      <c r="L231" s="19"/>
      <c r="M231" s="19"/>
      <c r="N231" s="19"/>
      <c r="O231" s="19"/>
      <c r="P231" s="19"/>
    </row>
    <row r="232" spans="1:16" ht="16.899999999999999">
      <c r="A232" s="19"/>
      <c r="B232" s="18"/>
      <c r="C232" s="19"/>
      <c r="D232" s="19"/>
      <c r="E232" s="19"/>
      <c r="F232" s="19"/>
      <c r="G232" s="19"/>
      <c r="H232" s="19"/>
      <c r="I232" s="19"/>
      <c r="J232" s="19"/>
      <c r="K232" s="19"/>
      <c r="L232" s="19"/>
      <c r="M232" s="19"/>
      <c r="N232" s="19"/>
      <c r="O232" s="19"/>
      <c r="P232" s="19"/>
    </row>
    <row r="233" spans="1:16" ht="16.899999999999999">
      <c r="A233" s="19"/>
      <c r="B233" s="18"/>
      <c r="C233" s="19"/>
      <c r="D233" s="19"/>
      <c r="E233" s="19"/>
      <c r="F233" s="19"/>
      <c r="G233" s="19"/>
      <c r="H233" s="19"/>
      <c r="I233" s="19"/>
      <c r="J233" s="19"/>
      <c r="K233" s="19"/>
      <c r="L233" s="19"/>
      <c r="M233" s="19"/>
      <c r="N233" s="19"/>
      <c r="O233" s="19"/>
      <c r="P233" s="19"/>
    </row>
    <row r="234" spans="1:16" ht="16.899999999999999">
      <c r="A234" s="19"/>
      <c r="B234" s="18"/>
      <c r="C234" s="19"/>
      <c r="D234" s="19"/>
      <c r="E234" s="19"/>
      <c r="F234" s="19"/>
      <c r="G234" s="19"/>
      <c r="H234" s="19"/>
      <c r="I234" s="19"/>
      <c r="J234" s="19"/>
      <c r="K234" s="19"/>
      <c r="L234" s="19"/>
      <c r="M234" s="19"/>
      <c r="N234" s="19"/>
      <c r="O234" s="19"/>
      <c r="P234" s="19"/>
    </row>
    <row r="235" spans="1:16" ht="16.899999999999999">
      <c r="A235" s="19"/>
      <c r="B235" s="18"/>
      <c r="C235" s="19"/>
      <c r="D235" s="19"/>
      <c r="E235" s="19"/>
      <c r="F235" s="19"/>
      <c r="G235" s="19"/>
      <c r="H235" s="19"/>
      <c r="I235" s="19"/>
      <c r="J235" s="19"/>
      <c r="K235" s="19"/>
      <c r="L235" s="19"/>
      <c r="M235" s="19"/>
      <c r="N235" s="19"/>
      <c r="O235" s="19"/>
      <c r="P235" s="19"/>
    </row>
    <row r="236" spans="1:16" ht="16.899999999999999">
      <c r="A236" s="19"/>
      <c r="B236" s="18"/>
      <c r="C236" s="19"/>
      <c r="D236" s="19"/>
      <c r="E236" s="19"/>
      <c r="F236" s="19"/>
      <c r="G236" s="19"/>
      <c r="H236" s="19"/>
      <c r="I236" s="19"/>
      <c r="J236" s="19"/>
      <c r="K236" s="19"/>
      <c r="L236" s="19"/>
      <c r="M236" s="19"/>
      <c r="N236" s="19"/>
      <c r="O236" s="19"/>
      <c r="P236" s="19"/>
    </row>
    <row r="237" spans="1:16" ht="16.899999999999999">
      <c r="A237" s="19"/>
      <c r="B237" s="18"/>
      <c r="C237" s="19"/>
      <c r="D237" s="19"/>
      <c r="E237" s="19"/>
      <c r="F237" s="19"/>
      <c r="G237" s="19"/>
      <c r="H237" s="19"/>
      <c r="I237" s="19"/>
      <c r="J237" s="19"/>
      <c r="K237" s="19"/>
      <c r="L237" s="19"/>
      <c r="M237" s="19"/>
      <c r="N237" s="19"/>
      <c r="O237" s="19"/>
      <c r="P237" s="19"/>
    </row>
    <row r="238" spans="1:16" ht="16.899999999999999">
      <c r="A238" s="19"/>
      <c r="B238" s="18"/>
      <c r="C238" s="19"/>
      <c r="D238" s="19"/>
      <c r="E238" s="19"/>
      <c r="F238" s="19"/>
      <c r="G238" s="19"/>
      <c r="H238" s="19"/>
      <c r="I238" s="19"/>
      <c r="J238" s="19"/>
      <c r="K238" s="19"/>
      <c r="L238" s="19"/>
      <c r="M238" s="19"/>
      <c r="N238" s="19"/>
      <c r="O238" s="19"/>
      <c r="P238" s="19"/>
    </row>
    <row r="239" spans="1:16" ht="16.899999999999999">
      <c r="A239" s="19"/>
      <c r="B239" s="18"/>
      <c r="C239" s="19"/>
      <c r="D239" s="19"/>
      <c r="E239" s="19"/>
      <c r="F239" s="19"/>
      <c r="G239" s="19"/>
      <c r="H239" s="19"/>
      <c r="I239" s="19"/>
      <c r="J239" s="19"/>
      <c r="K239" s="19"/>
      <c r="L239" s="19"/>
      <c r="M239" s="19"/>
      <c r="N239" s="19"/>
      <c r="O239" s="19"/>
      <c r="P239" s="19"/>
    </row>
    <row r="240" spans="1:16" ht="16.899999999999999">
      <c r="A240" s="19"/>
      <c r="B240" s="18"/>
      <c r="C240" s="19"/>
      <c r="D240" s="19"/>
      <c r="E240" s="19"/>
      <c r="F240" s="19"/>
      <c r="G240" s="19"/>
      <c r="H240" s="19"/>
      <c r="I240" s="19"/>
      <c r="J240" s="19"/>
      <c r="K240" s="19"/>
      <c r="L240" s="19"/>
      <c r="M240" s="19"/>
      <c r="N240" s="19"/>
      <c r="O240" s="19"/>
      <c r="P240" s="19"/>
    </row>
    <row r="241" spans="1:16" ht="16.899999999999999">
      <c r="A241" s="19"/>
      <c r="B241" s="18"/>
      <c r="C241" s="19"/>
      <c r="D241" s="19"/>
      <c r="E241" s="19"/>
      <c r="F241" s="19"/>
      <c r="G241" s="19"/>
      <c r="H241" s="19"/>
      <c r="I241" s="19"/>
      <c r="J241" s="19"/>
      <c r="K241" s="19"/>
      <c r="L241" s="19"/>
      <c r="M241" s="19"/>
      <c r="N241" s="19"/>
      <c r="O241" s="19"/>
      <c r="P241" s="19"/>
    </row>
    <row r="242" spans="1:16" ht="16.899999999999999">
      <c r="A242" s="19"/>
      <c r="B242" s="18"/>
      <c r="C242" s="19"/>
      <c r="D242" s="19"/>
      <c r="E242" s="19"/>
      <c r="F242" s="19"/>
      <c r="G242" s="19"/>
      <c r="H242" s="19"/>
      <c r="I242" s="19"/>
      <c r="J242" s="19"/>
      <c r="K242" s="19"/>
      <c r="L242" s="19"/>
      <c r="M242" s="19"/>
      <c r="N242" s="19"/>
      <c r="O242" s="19"/>
      <c r="P242" s="19"/>
    </row>
    <row r="243" spans="1:16" ht="16.899999999999999">
      <c r="A243" s="19"/>
      <c r="B243" s="18"/>
      <c r="C243" s="19"/>
      <c r="D243" s="19"/>
      <c r="E243" s="19"/>
      <c r="F243" s="19"/>
      <c r="G243" s="19"/>
      <c r="H243" s="19"/>
      <c r="I243" s="19"/>
      <c r="J243" s="19"/>
      <c r="K243" s="19"/>
      <c r="L243" s="19"/>
      <c r="M243" s="19"/>
      <c r="N243" s="19"/>
      <c r="O243" s="19"/>
      <c r="P243" s="19"/>
    </row>
    <row r="244" spans="1:16" ht="16.899999999999999">
      <c r="A244" s="19"/>
      <c r="B244" s="18"/>
      <c r="C244" s="19"/>
      <c r="D244" s="19"/>
      <c r="E244" s="19"/>
      <c r="F244" s="19"/>
      <c r="G244" s="19"/>
      <c r="H244" s="19"/>
      <c r="I244" s="19"/>
      <c r="J244" s="19"/>
      <c r="K244" s="19"/>
      <c r="L244" s="19"/>
      <c r="M244" s="19"/>
      <c r="N244" s="19"/>
      <c r="O244" s="19"/>
      <c r="P244" s="19"/>
    </row>
    <row r="245" spans="1:16" ht="16.899999999999999">
      <c r="A245" s="19"/>
      <c r="B245" s="18"/>
      <c r="C245" s="19"/>
      <c r="D245" s="19"/>
      <c r="E245" s="19"/>
      <c r="F245" s="19"/>
      <c r="G245" s="19"/>
      <c r="H245" s="19"/>
      <c r="I245" s="19"/>
      <c r="J245" s="19"/>
      <c r="K245" s="19"/>
      <c r="L245" s="19"/>
      <c r="M245" s="19"/>
      <c r="N245" s="19"/>
      <c r="O245" s="19"/>
      <c r="P245" s="19"/>
    </row>
    <row r="246" spans="1:16" ht="16.899999999999999">
      <c r="A246" s="19"/>
      <c r="B246" s="18"/>
      <c r="C246" s="19"/>
      <c r="D246" s="19"/>
      <c r="E246" s="19"/>
      <c r="F246" s="19"/>
      <c r="G246" s="19"/>
      <c r="H246" s="19"/>
      <c r="I246" s="19"/>
      <c r="J246" s="19"/>
      <c r="K246" s="19"/>
      <c r="L246" s="19"/>
      <c r="M246" s="19"/>
      <c r="N246" s="19"/>
      <c r="O246" s="19"/>
      <c r="P246" s="19"/>
    </row>
    <row r="247" spans="1:16" ht="16.899999999999999">
      <c r="A247" s="19"/>
      <c r="B247" s="18"/>
      <c r="C247" s="19"/>
      <c r="D247" s="19"/>
      <c r="E247" s="19"/>
      <c r="F247" s="19"/>
      <c r="G247" s="19"/>
      <c r="H247" s="19"/>
      <c r="I247" s="19"/>
      <c r="J247" s="19"/>
      <c r="K247" s="19"/>
      <c r="L247" s="19"/>
      <c r="M247" s="19"/>
      <c r="N247" s="19"/>
      <c r="O247" s="19"/>
      <c r="P247" s="19"/>
    </row>
    <row r="248" spans="1:16" ht="16.899999999999999">
      <c r="A248" s="19"/>
      <c r="B248" s="18"/>
      <c r="C248" s="19"/>
      <c r="D248" s="19"/>
      <c r="E248" s="19"/>
      <c r="F248" s="19"/>
      <c r="G248" s="19"/>
      <c r="H248" s="19"/>
      <c r="I248" s="19"/>
      <c r="J248" s="19"/>
      <c r="K248" s="19"/>
      <c r="L248" s="19"/>
      <c r="M248" s="19"/>
      <c r="N248" s="19"/>
      <c r="O248" s="19"/>
      <c r="P248" s="19"/>
    </row>
    <row r="249" spans="1:16" ht="16.899999999999999">
      <c r="A249" s="19"/>
      <c r="B249" s="18"/>
      <c r="C249" s="19"/>
      <c r="D249" s="19"/>
      <c r="E249" s="19"/>
      <c r="F249" s="19"/>
      <c r="G249" s="19"/>
      <c r="H249" s="19"/>
      <c r="I249" s="19"/>
      <c r="J249" s="19"/>
      <c r="K249" s="19"/>
      <c r="L249" s="19"/>
      <c r="M249" s="19"/>
      <c r="N249" s="19"/>
      <c r="O249" s="19"/>
      <c r="P249" s="19"/>
    </row>
    <row r="250" spans="1:16" ht="16.899999999999999">
      <c r="A250" s="19"/>
      <c r="B250" s="18"/>
      <c r="C250" s="19"/>
      <c r="D250" s="19"/>
      <c r="E250" s="19"/>
      <c r="F250" s="19"/>
      <c r="G250" s="19"/>
      <c r="H250" s="19"/>
      <c r="I250" s="19"/>
      <c r="J250" s="19"/>
      <c r="K250" s="19"/>
      <c r="L250" s="19"/>
      <c r="M250" s="19"/>
      <c r="N250" s="19"/>
      <c r="O250" s="19"/>
      <c r="P250" s="19"/>
    </row>
    <row r="251" spans="1:16" ht="16.899999999999999">
      <c r="A251" s="19"/>
      <c r="B251" s="18"/>
      <c r="C251" s="19"/>
      <c r="D251" s="19"/>
      <c r="E251" s="19"/>
      <c r="F251" s="19"/>
      <c r="G251" s="19"/>
      <c r="H251" s="19"/>
      <c r="I251" s="19"/>
      <c r="J251" s="19"/>
      <c r="K251" s="19"/>
      <c r="L251" s="19"/>
      <c r="M251" s="19"/>
      <c r="N251" s="19"/>
      <c r="O251" s="19"/>
      <c r="P251" s="19"/>
    </row>
    <row r="252" spans="1:16" ht="16.899999999999999">
      <c r="A252" s="19"/>
      <c r="B252" s="18"/>
      <c r="C252" s="19"/>
      <c r="D252" s="19"/>
      <c r="E252" s="19"/>
      <c r="F252" s="19"/>
      <c r="G252" s="19"/>
      <c r="H252" s="19"/>
      <c r="I252" s="19"/>
      <c r="J252" s="19"/>
      <c r="K252" s="19"/>
      <c r="L252" s="19"/>
      <c r="M252" s="19"/>
      <c r="N252" s="19"/>
      <c r="O252" s="19"/>
      <c r="P252" s="19"/>
    </row>
    <row r="253" spans="1:16" ht="16.899999999999999">
      <c r="A253" s="19"/>
      <c r="B253" s="18"/>
      <c r="C253" s="19"/>
      <c r="D253" s="19"/>
      <c r="E253" s="19"/>
      <c r="F253" s="19"/>
      <c r="G253" s="19"/>
      <c r="H253" s="19"/>
      <c r="I253" s="19"/>
      <c r="J253" s="19"/>
      <c r="K253" s="19"/>
      <c r="L253" s="19"/>
      <c r="M253" s="19"/>
      <c r="N253" s="19"/>
      <c r="O253" s="19"/>
      <c r="P253" s="19"/>
    </row>
    <row r="254" spans="1:16" ht="16.899999999999999">
      <c r="A254" s="19"/>
      <c r="B254" s="18"/>
      <c r="C254" s="19"/>
      <c r="D254" s="19"/>
      <c r="E254" s="19"/>
      <c r="F254" s="19"/>
      <c r="G254" s="19"/>
      <c r="H254" s="19"/>
      <c r="I254" s="19"/>
      <c r="J254" s="19"/>
      <c r="K254" s="19"/>
      <c r="L254" s="19"/>
      <c r="M254" s="19"/>
      <c r="N254" s="19"/>
      <c r="O254" s="19"/>
      <c r="P254" s="19"/>
    </row>
    <row r="255" spans="1:16" ht="16.899999999999999">
      <c r="A255" s="19"/>
      <c r="B255" s="18"/>
      <c r="C255" s="19"/>
      <c r="D255" s="19"/>
      <c r="E255" s="19"/>
      <c r="F255" s="19"/>
      <c r="G255" s="19"/>
      <c r="H255" s="19"/>
      <c r="I255" s="19"/>
      <c r="J255" s="19"/>
      <c r="K255" s="19"/>
      <c r="L255" s="19"/>
      <c r="M255" s="19"/>
      <c r="N255" s="19"/>
      <c r="O255" s="19"/>
      <c r="P255" s="19"/>
    </row>
    <row r="256" spans="1:16" ht="16.899999999999999">
      <c r="A256" s="19"/>
      <c r="B256" s="18"/>
      <c r="C256" s="19"/>
      <c r="D256" s="19"/>
      <c r="E256" s="19"/>
      <c r="F256" s="19"/>
      <c r="G256" s="19"/>
      <c r="H256" s="19"/>
      <c r="I256" s="19"/>
      <c r="J256" s="19"/>
      <c r="K256" s="19"/>
      <c r="L256" s="19"/>
      <c r="M256" s="19"/>
      <c r="N256" s="19"/>
      <c r="O256" s="19"/>
      <c r="P256" s="19"/>
    </row>
    <row r="257" spans="1:16" ht="16.899999999999999">
      <c r="A257" s="19"/>
      <c r="B257" s="18"/>
      <c r="C257" s="19"/>
      <c r="D257" s="19"/>
      <c r="E257" s="19"/>
      <c r="F257" s="19"/>
      <c r="G257" s="19"/>
      <c r="H257" s="19"/>
      <c r="I257" s="19"/>
      <c r="J257" s="19"/>
      <c r="K257" s="19"/>
      <c r="L257" s="19"/>
      <c r="M257" s="19"/>
      <c r="N257" s="19"/>
      <c r="O257" s="19"/>
      <c r="P257" s="19"/>
    </row>
    <row r="258" spans="1:16" ht="16.899999999999999">
      <c r="A258" s="19"/>
      <c r="B258" s="18"/>
      <c r="C258" s="19"/>
      <c r="D258" s="19"/>
      <c r="E258" s="19"/>
      <c r="F258" s="19"/>
      <c r="G258" s="19"/>
      <c r="H258" s="19"/>
      <c r="I258" s="19"/>
      <c r="J258" s="19"/>
      <c r="K258" s="19"/>
      <c r="L258" s="19"/>
      <c r="M258" s="19"/>
      <c r="N258" s="19"/>
      <c r="O258" s="19"/>
      <c r="P258" s="19"/>
    </row>
    <row r="259" spans="1:16" ht="16.899999999999999">
      <c r="A259" s="19"/>
      <c r="B259" s="18"/>
      <c r="C259" s="19"/>
      <c r="D259" s="19"/>
      <c r="E259" s="19"/>
      <c r="F259" s="19"/>
      <c r="G259" s="19"/>
      <c r="H259" s="19"/>
      <c r="I259" s="19"/>
      <c r="J259" s="19"/>
      <c r="K259" s="19"/>
      <c r="L259" s="19"/>
      <c r="M259" s="19"/>
      <c r="N259" s="19"/>
      <c r="O259" s="19"/>
      <c r="P259" s="19"/>
    </row>
    <row r="260" spans="1:16" ht="16.899999999999999">
      <c r="A260" s="19"/>
      <c r="B260" s="18"/>
      <c r="C260" s="19"/>
      <c r="D260" s="19"/>
      <c r="E260" s="19"/>
      <c r="F260" s="19"/>
      <c r="G260" s="19"/>
      <c r="H260" s="19"/>
      <c r="I260" s="19"/>
      <c r="J260" s="19"/>
      <c r="K260" s="19"/>
      <c r="L260" s="19"/>
      <c r="M260" s="19"/>
      <c r="N260" s="19"/>
      <c r="O260" s="19"/>
      <c r="P260" s="19"/>
    </row>
    <row r="261" spans="1:16" ht="16.899999999999999">
      <c r="A261" s="19"/>
      <c r="B261" s="18"/>
      <c r="C261" s="19"/>
      <c r="D261" s="19"/>
      <c r="E261" s="19"/>
      <c r="F261" s="19"/>
      <c r="G261" s="19"/>
      <c r="H261" s="19"/>
      <c r="I261" s="19"/>
      <c r="J261" s="19"/>
      <c r="K261" s="19"/>
      <c r="L261" s="19"/>
      <c r="M261" s="19"/>
      <c r="N261" s="19"/>
      <c r="O261" s="19"/>
      <c r="P261" s="19"/>
    </row>
    <row r="262" spans="1:16" ht="16.899999999999999">
      <c r="A262" s="19"/>
      <c r="B262" s="18"/>
      <c r="C262" s="19"/>
      <c r="D262" s="19"/>
      <c r="E262" s="19"/>
      <c r="F262" s="19"/>
      <c r="G262" s="19"/>
      <c r="H262" s="19"/>
      <c r="I262" s="19"/>
      <c r="J262" s="19"/>
      <c r="K262" s="19"/>
      <c r="L262" s="19"/>
      <c r="M262" s="19"/>
      <c r="N262" s="19"/>
      <c r="O262" s="19"/>
      <c r="P262" s="19"/>
    </row>
    <row r="263" spans="1:16" ht="16.899999999999999">
      <c r="A263" s="19"/>
      <c r="B263" s="18"/>
      <c r="C263" s="19"/>
      <c r="D263" s="19"/>
      <c r="E263" s="19"/>
      <c r="F263" s="19"/>
      <c r="G263" s="19"/>
      <c r="H263" s="19"/>
      <c r="I263" s="19"/>
      <c r="J263" s="19"/>
      <c r="K263" s="19"/>
      <c r="L263" s="19"/>
      <c r="M263" s="19"/>
      <c r="N263" s="19"/>
      <c r="O263" s="19"/>
      <c r="P263" s="19"/>
    </row>
    <row r="264" spans="1:16" ht="16.899999999999999">
      <c r="A264" s="19"/>
      <c r="B264" s="18"/>
      <c r="C264" s="19"/>
      <c r="D264" s="19"/>
      <c r="E264" s="19"/>
      <c r="F264" s="19"/>
      <c r="G264" s="19"/>
      <c r="H264" s="19"/>
      <c r="I264" s="19"/>
      <c r="J264" s="19"/>
      <c r="K264" s="19"/>
      <c r="L264" s="19"/>
      <c r="M264" s="19"/>
      <c r="N264" s="19"/>
      <c r="O264" s="19"/>
      <c r="P264" s="19"/>
    </row>
    <row r="265" spans="1:16" ht="16.899999999999999">
      <c r="A265" s="19"/>
      <c r="B265" s="18"/>
      <c r="C265" s="19"/>
      <c r="D265" s="19"/>
      <c r="E265" s="19"/>
      <c r="F265" s="19"/>
      <c r="G265" s="19"/>
      <c r="H265" s="19"/>
      <c r="I265" s="19"/>
      <c r="J265" s="19"/>
      <c r="K265" s="19"/>
      <c r="L265" s="19"/>
      <c r="M265" s="19"/>
      <c r="N265" s="19"/>
      <c r="O265" s="19"/>
      <c r="P265" s="19"/>
    </row>
    <row r="266" spans="1:16" ht="16.899999999999999">
      <c r="A266" s="19"/>
      <c r="B266" s="18"/>
      <c r="C266" s="19"/>
      <c r="D266" s="19"/>
      <c r="E266" s="19"/>
      <c r="F266" s="19"/>
      <c r="G266" s="19"/>
      <c r="H266" s="19"/>
      <c r="I266" s="19"/>
      <c r="J266" s="19"/>
      <c r="K266" s="19"/>
      <c r="L266" s="19"/>
      <c r="M266" s="19"/>
      <c r="N266" s="19"/>
      <c r="O266" s="19"/>
      <c r="P266" s="19"/>
    </row>
    <row r="267" spans="1:16" ht="16.899999999999999">
      <c r="A267" s="19"/>
      <c r="B267" s="18"/>
      <c r="C267" s="19"/>
      <c r="D267" s="19"/>
      <c r="E267" s="19"/>
      <c r="F267" s="19"/>
      <c r="G267" s="19"/>
      <c r="H267" s="19"/>
      <c r="I267" s="19"/>
      <c r="J267" s="19"/>
      <c r="K267" s="19"/>
      <c r="L267" s="19"/>
      <c r="M267" s="19"/>
      <c r="N267" s="19"/>
      <c r="O267" s="19"/>
      <c r="P267" s="19"/>
    </row>
    <row r="268" spans="1:16" ht="16.899999999999999">
      <c r="A268" s="19"/>
      <c r="B268" s="18"/>
      <c r="C268" s="19"/>
      <c r="D268" s="19"/>
      <c r="E268" s="19"/>
      <c r="F268" s="19"/>
      <c r="G268" s="19"/>
      <c r="H268" s="19"/>
      <c r="I268" s="19"/>
      <c r="J268" s="19"/>
      <c r="K268" s="19"/>
      <c r="L268" s="19"/>
      <c r="M268" s="19"/>
      <c r="N268" s="19"/>
      <c r="O268" s="19"/>
      <c r="P268" s="19"/>
    </row>
    <row r="269" spans="1:16" ht="16.899999999999999">
      <c r="A269" s="19"/>
      <c r="B269" s="18"/>
      <c r="C269" s="19"/>
      <c r="D269" s="19"/>
      <c r="E269" s="19"/>
      <c r="F269" s="19"/>
      <c r="G269" s="19"/>
      <c r="H269" s="19"/>
      <c r="I269" s="19"/>
      <c r="J269" s="19"/>
      <c r="K269" s="19"/>
      <c r="L269" s="19"/>
      <c r="M269" s="19"/>
      <c r="N269" s="19"/>
      <c r="O269" s="19"/>
      <c r="P269" s="19"/>
    </row>
    <row r="270" spans="1:16" ht="16.899999999999999">
      <c r="A270" s="19"/>
      <c r="B270" s="18"/>
      <c r="C270" s="19"/>
      <c r="D270" s="19"/>
      <c r="E270" s="19"/>
      <c r="F270" s="19"/>
      <c r="G270" s="19"/>
      <c r="H270" s="19"/>
      <c r="I270" s="19"/>
      <c r="J270" s="19"/>
      <c r="K270" s="19"/>
      <c r="L270" s="19"/>
      <c r="M270" s="19"/>
      <c r="N270" s="19"/>
      <c r="O270" s="19"/>
      <c r="P270" s="19"/>
    </row>
    <row r="271" spans="1:16" ht="16.899999999999999">
      <c r="A271" s="19"/>
      <c r="B271" s="18"/>
      <c r="C271" s="19"/>
      <c r="D271" s="19"/>
      <c r="E271" s="19"/>
      <c r="F271" s="19"/>
      <c r="G271" s="19"/>
      <c r="H271" s="19"/>
      <c r="I271" s="19"/>
      <c r="J271" s="19"/>
      <c r="K271" s="19"/>
      <c r="L271" s="19"/>
      <c r="M271" s="19"/>
      <c r="N271" s="19"/>
      <c r="O271" s="19"/>
      <c r="P271" s="19"/>
    </row>
    <row r="272" spans="1:16" ht="16.899999999999999">
      <c r="A272" s="19"/>
      <c r="B272" s="18"/>
      <c r="C272" s="19"/>
      <c r="D272" s="19"/>
      <c r="E272" s="19"/>
      <c r="F272" s="19"/>
      <c r="G272" s="19"/>
      <c r="H272" s="19"/>
      <c r="I272" s="19"/>
      <c r="J272" s="19"/>
      <c r="K272" s="19"/>
      <c r="L272" s="19"/>
      <c r="M272" s="19"/>
      <c r="N272" s="19"/>
      <c r="O272" s="19"/>
      <c r="P272" s="19"/>
    </row>
    <row r="273" spans="1:16" ht="16.899999999999999">
      <c r="A273" s="19"/>
      <c r="B273" s="18"/>
      <c r="C273" s="19"/>
      <c r="D273" s="19"/>
      <c r="E273" s="19"/>
      <c r="F273" s="19"/>
      <c r="G273" s="19"/>
      <c r="H273" s="19"/>
      <c r="I273" s="19"/>
      <c r="J273" s="19"/>
      <c r="K273" s="19"/>
      <c r="L273" s="19"/>
      <c r="M273" s="19"/>
      <c r="N273" s="19"/>
      <c r="O273" s="19"/>
      <c r="P273" s="19"/>
    </row>
    <row r="274" spans="1:16" ht="16.899999999999999">
      <c r="A274" s="19"/>
      <c r="B274" s="18"/>
      <c r="C274" s="19"/>
      <c r="D274" s="19"/>
      <c r="E274" s="19"/>
      <c r="F274" s="19"/>
      <c r="G274" s="19"/>
      <c r="H274" s="19"/>
      <c r="I274" s="19"/>
      <c r="J274" s="19"/>
      <c r="K274" s="19"/>
      <c r="L274" s="19"/>
      <c r="M274" s="19"/>
      <c r="N274" s="19"/>
      <c r="O274" s="19"/>
      <c r="P274" s="19"/>
    </row>
    <row r="275" spans="1:16" ht="16.899999999999999">
      <c r="A275" s="19"/>
      <c r="B275" s="18"/>
      <c r="C275" s="19"/>
      <c r="D275" s="19"/>
      <c r="E275" s="19"/>
      <c r="F275" s="19"/>
      <c r="G275" s="19"/>
      <c r="H275" s="19"/>
      <c r="I275" s="19"/>
      <c r="J275" s="19"/>
      <c r="K275" s="19"/>
      <c r="L275" s="19"/>
      <c r="M275" s="19"/>
      <c r="N275" s="19"/>
      <c r="O275" s="19"/>
      <c r="P275" s="19"/>
    </row>
    <row r="276" spans="1:16" ht="16.899999999999999">
      <c r="A276" s="19"/>
      <c r="B276" s="18"/>
      <c r="C276" s="19"/>
      <c r="D276" s="19"/>
      <c r="E276" s="19"/>
      <c r="F276" s="19"/>
      <c r="G276" s="19"/>
      <c r="H276" s="19"/>
      <c r="I276" s="19"/>
      <c r="J276" s="19"/>
      <c r="K276" s="19"/>
      <c r="L276" s="19"/>
      <c r="M276" s="19"/>
      <c r="N276" s="19"/>
      <c r="O276" s="19"/>
      <c r="P276" s="19"/>
    </row>
    <row r="277" spans="1:16" ht="16.899999999999999">
      <c r="A277" s="19"/>
      <c r="B277" s="18"/>
      <c r="C277" s="19"/>
      <c r="D277" s="19"/>
      <c r="E277" s="19"/>
      <c r="F277" s="19"/>
      <c r="G277" s="19"/>
      <c r="H277" s="19"/>
      <c r="I277" s="19"/>
      <c r="J277" s="19"/>
      <c r="K277" s="19"/>
      <c r="L277" s="19"/>
      <c r="M277" s="19"/>
      <c r="N277" s="19"/>
      <c r="O277" s="19"/>
      <c r="P277" s="19"/>
    </row>
    <row r="278" spans="1:16" ht="16.899999999999999">
      <c r="A278" s="19"/>
      <c r="B278" s="18"/>
      <c r="C278" s="19"/>
      <c r="D278" s="19"/>
      <c r="E278" s="19"/>
      <c r="F278" s="19"/>
      <c r="G278" s="19"/>
      <c r="H278" s="19"/>
      <c r="I278" s="19"/>
      <c r="J278" s="19"/>
      <c r="K278" s="19"/>
      <c r="L278" s="19"/>
      <c r="M278" s="19"/>
      <c r="N278" s="19"/>
      <c r="O278" s="19"/>
      <c r="P278" s="19"/>
    </row>
    <row r="279" spans="1:16" ht="16.899999999999999">
      <c r="A279" s="19"/>
      <c r="B279" s="18"/>
      <c r="C279" s="19"/>
      <c r="D279" s="19"/>
      <c r="E279" s="19"/>
      <c r="F279" s="19"/>
      <c r="G279" s="19"/>
      <c r="H279" s="19"/>
      <c r="I279" s="19"/>
      <c r="J279" s="19"/>
      <c r="K279" s="19"/>
      <c r="L279" s="19"/>
      <c r="M279" s="19"/>
      <c r="N279" s="19"/>
      <c r="O279" s="19"/>
      <c r="P279" s="19"/>
    </row>
    <row r="280" spans="1:16" ht="16.899999999999999">
      <c r="A280" s="19"/>
      <c r="B280" s="18"/>
      <c r="C280" s="19"/>
      <c r="D280" s="19"/>
      <c r="E280" s="19"/>
      <c r="F280" s="19"/>
      <c r="G280" s="19"/>
      <c r="H280" s="19"/>
      <c r="I280" s="19"/>
      <c r="J280" s="19"/>
      <c r="K280" s="19"/>
      <c r="L280" s="19"/>
      <c r="M280" s="19"/>
      <c r="N280" s="19"/>
      <c r="O280" s="19"/>
      <c r="P280" s="19"/>
    </row>
    <row r="281" spans="1:16" ht="16.899999999999999">
      <c r="A281" s="19"/>
      <c r="B281" s="18"/>
      <c r="C281" s="19"/>
      <c r="D281" s="19"/>
      <c r="E281" s="19"/>
      <c r="F281" s="19"/>
      <c r="G281" s="19"/>
      <c r="H281" s="19"/>
      <c r="I281" s="19"/>
      <c r="J281" s="19"/>
      <c r="K281" s="19"/>
      <c r="L281" s="19"/>
      <c r="M281" s="19"/>
      <c r="N281" s="19"/>
      <c r="O281" s="19"/>
      <c r="P281" s="19"/>
    </row>
    <row r="282" spans="1:16" ht="16.899999999999999">
      <c r="A282" s="19"/>
      <c r="B282" s="18"/>
      <c r="C282" s="19"/>
      <c r="D282" s="19"/>
      <c r="E282" s="19"/>
      <c r="F282" s="19"/>
      <c r="G282" s="19"/>
      <c r="H282" s="19"/>
      <c r="I282" s="19"/>
      <c r="J282" s="19"/>
      <c r="K282" s="19"/>
      <c r="L282" s="19"/>
      <c r="M282" s="19"/>
      <c r="N282" s="19"/>
      <c r="O282" s="19"/>
      <c r="P282" s="19"/>
    </row>
    <row r="283" spans="1:16" ht="16.899999999999999">
      <c r="A283" s="19"/>
      <c r="B283" s="18"/>
      <c r="C283" s="19"/>
      <c r="D283" s="19"/>
      <c r="E283" s="19"/>
      <c r="F283" s="19"/>
      <c r="G283" s="19"/>
      <c r="H283" s="19"/>
      <c r="I283" s="19"/>
      <c r="J283" s="19"/>
      <c r="K283" s="19"/>
      <c r="L283" s="19"/>
      <c r="M283" s="19"/>
      <c r="N283" s="19"/>
      <c r="O283" s="19"/>
      <c r="P283" s="19"/>
    </row>
    <row r="284" spans="1:16" ht="16.899999999999999">
      <c r="A284" s="19"/>
      <c r="B284" s="18"/>
      <c r="C284" s="19"/>
      <c r="D284" s="19"/>
      <c r="E284" s="19"/>
      <c r="F284" s="19"/>
      <c r="G284" s="19"/>
      <c r="H284" s="19"/>
      <c r="I284" s="19"/>
      <c r="J284" s="19"/>
      <c r="K284" s="19"/>
      <c r="L284" s="19"/>
      <c r="M284" s="19"/>
      <c r="N284" s="19"/>
      <c r="O284" s="19"/>
      <c r="P284" s="19"/>
    </row>
    <row r="285" spans="1:16" ht="16.899999999999999">
      <c r="A285" s="19"/>
      <c r="B285" s="18"/>
      <c r="C285" s="19"/>
      <c r="D285" s="19"/>
      <c r="E285" s="19"/>
      <c r="F285" s="19"/>
      <c r="G285" s="19"/>
      <c r="H285" s="19"/>
      <c r="I285" s="19"/>
      <c r="J285" s="19"/>
      <c r="K285" s="19"/>
      <c r="L285" s="19"/>
      <c r="M285" s="19"/>
      <c r="N285" s="19"/>
      <c r="O285" s="19"/>
      <c r="P285" s="19"/>
    </row>
    <row r="286" spans="1:16" ht="16.899999999999999">
      <c r="A286" s="19"/>
      <c r="B286" s="18"/>
      <c r="C286" s="19"/>
      <c r="D286" s="19"/>
      <c r="E286" s="19"/>
      <c r="F286" s="19"/>
      <c r="G286" s="19"/>
      <c r="H286" s="19"/>
      <c r="I286" s="19"/>
      <c r="J286" s="19"/>
      <c r="K286" s="19"/>
      <c r="L286" s="19"/>
      <c r="M286" s="19"/>
      <c r="N286" s="19"/>
      <c r="O286" s="19"/>
      <c r="P286" s="19"/>
    </row>
    <row r="287" spans="1:16" ht="16.899999999999999">
      <c r="A287" s="19"/>
      <c r="B287" s="18"/>
      <c r="C287" s="19"/>
      <c r="D287" s="19"/>
      <c r="E287" s="19"/>
      <c r="F287" s="19"/>
      <c r="G287" s="19"/>
      <c r="H287" s="19"/>
      <c r="I287" s="19"/>
      <c r="J287" s="19"/>
      <c r="K287" s="19"/>
      <c r="L287" s="19"/>
      <c r="M287" s="19"/>
      <c r="N287" s="19"/>
      <c r="O287" s="19"/>
      <c r="P287" s="19"/>
    </row>
    <row r="288" spans="1:16" ht="16.899999999999999">
      <c r="A288" s="19"/>
      <c r="B288" s="18"/>
      <c r="C288" s="19"/>
      <c r="D288" s="19"/>
      <c r="E288" s="19"/>
      <c r="F288" s="19"/>
      <c r="G288" s="19"/>
      <c r="H288" s="19"/>
      <c r="I288" s="19"/>
      <c r="J288" s="19"/>
      <c r="K288" s="19"/>
      <c r="L288" s="19"/>
      <c r="M288" s="19"/>
      <c r="N288" s="19"/>
      <c r="O288" s="19"/>
      <c r="P288" s="19"/>
    </row>
    <row r="289" spans="1:16" ht="16.899999999999999">
      <c r="A289" s="19"/>
      <c r="B289" s="18"/>
      <c r="C289" s="19"/>
      <c r="D289" s="19"/>
      <c r="E289" s="19"/>
      <c r="F289" s="19"/>
      <c r="G289" s="19"/>
      <c r="H289" s="19"/>
      <c r="I289" s="19"/>
      <c r="J289" s="19"/>
      <c r="K289" s="19"/>
      <c r="L289" s="19"/>
      <c r="M289" s="19"/>
      <c r="N289" s="19"/>
      <c r="O289" s="19"/>
      <c r="P289" s="19"/>
    </row>
    <row r="290" spans="1:16" ht="16.899999999999999">
      <c r="A290" s="19"/>
      <c r="B290" s="18"/>
      <c r="C290" s="19"/>
      <c r="D290" s="19"/>
      <c r="E290" s="19"/>
      <c r="F290" s="19"/>
      <c r="G290" s="19"/>
      <c r="H290" s="19"/>
      <c r="I290" s="19"/>
      <c r="J290" s="19"/>
      <c r="K290" s="19"/>
      <c r="L290" s="19"/>
      <c r="M290" s="19"/>
      <c r="N290" s="19"/>
      <c r="O290" s="19"/>
      <c r="P290" s="19"/>
    </row>
    <row r="291" spans="1:16" ht="16.899999999999999">
      <c r="A291" s="19"/>
      <c r="B291" s="18"/>
      <c r="C291" s="19"/>
      <c r="D291" s="19"/>
      <c r="E291" s="19"/>
      <c r="F291" s="19"/>
      <c r="G291" s="19"/>
      <c r="H291" s="19"/>
      <c r="I291" s="19"/>
      <c r="J291" s="19"/>
      <c r="K291" s="19"/>
      <c r="L291" s="19"/>
      <c r="M291" s="19"/>
      <c r="N291" s="19"/>
      <c r="O291" s="19"/>
      <c r="P291" s="19"/>
    </row>
    <row r="292" spans="1:16" ht="16.899999999999999">
      <c r="A292" s="19"/>
      <c r="B292" s="18"/>
      <c r="C292" s="19"/>
      <c r="D292" s="19"/>
      <c r="E292" s="19"/>
      <c r="F292" s="19"/>
      <c r="G292" s="19"/>
      <c r="H292" s="19"/>
      <c r="I292" s="19"/>
      <c r="J292" s="19"/>
      <c r="K292" s="19"/>
      <c r="L292" s="19"/>
      <c r="M292" s="19"/>
      <c r="N292" s="19"/>
      <c r="O292" s="19"/>
      <c r="P292" s="19"/>
    </row>
    <row r="293" spans="1:16" ht="16.899999999999999">
      <c r="A293" s="19"/>
      <c r="B293" s="18"/>
      <c r="C293" s="19"/>
      <c r="D293" s="19"/>
      <c r="E293" s="19"/>
      <c r="F293" s="19"/>
      <c r="G293" s="19"/>
      <c r="H293" s="19"/>
      <c r="I293" s="19"/>
      <c r="J293" s="19"/>
      <c r="K293" s="19"/>
      <c r="L293" s="19"/>
      <c r="M293" s="19"/>
      <c r="N293" s="19"/>
      <c r="O293" s="19"/>
      <c r="P293" s="19"/>
    </row>
    <row r="294" spans="1:16" ht="16.899999999999999">
      <c r="A294" s="19"/>
      <c r="B294" s="18"/>
      <c r="C294" s="19"/>
      <c r="D294" s="19"/>
      <c r="E294" s="19"/>
      <c r="F294" s="19"/>
      <c r="G294" s="19"/>
      <c r="H294" s="19"/>
      <c r="I294" s="19"/>
      <c r="J294" s="19"/>
      <c r="K294" s="19"/>
      <c r="L294" s="19"/>
      <c r="M294" s="19"/>
      <c r="N294" s="19"/>
      <c r="O294" s="19"/>
      <c r="P294" s="19"/>
    </row>
    <row r="295" spans="1:16" ht="16.899999999999999">
      <c r="A295" s="19"/>
      <c r="B295" s="18"/>
      <c r="C295" s="19"/>
      <c r="D295" s="19"/>
      <c r="E295" s="19"/>
      <c r="F295" s="19"/>
      <c r="G295" s="19"/>
      <c r="H295" s="19"/>
      <c r="I295" s="19"/>
      <c r="J295" s="19"/>
      <c r="K295" s="19"/>
      <c r="L295" s="19"/>
      <c r="M295" s="19"/>
      <c r="N295" s="19"/>
      <c r="O295" s="19"/>
      <c r="P295" s="19"/>
    </row>
    <row r="296" spans="1:16" ht="16.899999999999999">
      <c r="A296" s="19"/>
      <c r="B296" s="18"/>
      <c r="C296" s="19"/>
      <c r="D296" s="19"/>
      <c r="E296" s="19"/>
      <c r="F296" s="19"/>
      <c r="G296" s="19"/>
      <c r="H296" s="19"/>
      <c r="I296" s="19"/>
      <c r="J296" s="19"/>
      <c r="K296" s="19"/>
      <c r="L296" s="19"/>
      <c r="M296" s="19"/>
      <c r="N296" s="19"/>
      <c r="O296" s="19"/>
      <c r="P296" s="19"/>
    </row>
    <row r="297" spans="1:16" ht="16.899999999999999">
      <c r="A297" s="19"/>
      <c r="B297" s="18"/>
      <c r="C297" s="19"/>
      <c r="D297" s="19"/>
      <c r="E297" s="19"/>
      <c r="F297" s="19"/>
      <c r="G297" s="19"/>
      <c r="H297" s="19"/>
      <c r="I297" s="19"/>
      <c r="J297" s="19"/>
      <c r="K297" s="19"/>
      <c r="L297" s="19"/>
      <c r="M297" s="19"/>
      <c r="N297" s="19"/>
      <c r="O297" s="19"/>
      <c r="P297" s="19"/>
    </row>
    <row r="298" spans="1:16" ht="16.899999999999999">
      <c r="A298" s="19"/>
      <c r="B298" s="18"/>
      <c r="C298" s="19"/>
      <c r="D298" s="19"/>
      <c r="E298" s="19"/>
      <c r="F298" s="19"/>
      <c r="G298" s="19"/>
      <c r="H298" s="19"/>
      <c r="I298" s="19"/>
      <c r="J298" s="19"/>
      <c r="K298" s="19"/>
      <c r="L298" s="19"/>
      <c r="M298" s="19"/>
      <c r="N298" s="19"/>
      <c r="O298" s="19"/>
      <c r="P298" s="19"/>
    </row>
    <row r="299" spans="1:16" ht="16.899999999999999">
      <c r="A299" s="19"/>
      <c r="B299" s="18"/>
      <c r="C299" s="19"/>
      <c r="D299" s="19"/>
      <c r="E299" s="19"/>
      <c r="F299" s="19"/>
      <c r="G299" s="19"/>
      <c r="H299" s="19"/>
      <c r="I299" s="19"/>
      <c r="J299" s="19"/>
      <c r="K299" s="19"/>
      <c r="L299" s="19"/>
      <c r="M299" s="19"/>
      <c r="N299" s="19"/>
      <c r="O299" s="19"/>
      <c r="P299" s="19"/>
    </row>
    <row r="300" spans="1:16" ht="16.899999999999999">
      <c r="A300" s="19"/>
      <c r="B300" s="18"/>
      <c r="C300" s="19"/>
      <c r="D300" s="19"/>
      <c r="E300" s="19"/>
      <c r="F300" s="19"/>
      <c r="G300" s="19"/>
      <c r="H300" s="19"/>
      <c r="I300" s="19"/>
      <c r="J300" s="19"/>
      <c r="K300" s="19"/>
      <c r="L300" s="19"/>
      <c r="M300" s="19"/>
      <c r="N300" s="19"/>
      <c r="O300" s="19"/>
      <c r="P300" s="19"/>
    </row>
    <row r="301" spans="1:16" ht="16.899999999999999">
      <c r="A301" s="19"/>
      <c r="B301" s="18"/>
      <c r="C301" s="19"/>
      <c r="D301" s="19"/>
      <c r="E301" s="19"/>
      <c r="F301" s="19"/>
      <c r="G301" s="19"/>
      <c r="H301" s="19"/>
      <c r="I301" s="19"/>
      <c r="J301" s="19"/>
      <c r="K301" s="19"/>
      <c r="L301" s="19"/>
      <c r="M301" s="19"/>
      <c r="N301" s="19"/>
      <c r="O301" s="19"/>
      <c r="P301" s="19"/>
    </row>
    <row r="302" spans="1:16" ht="16.899999999999999">
      <c r="A302" s="19"/>
      <c r="B302" s="18"/>
      <c r="C302" s="19"/>
      <c r="D302" s="19"/>
      <c r="E302" s="19"/>
      <c r="F302" s="19"/>
      <c r="G302" s="19"/>
      <c r="H302" s="19"/>
      <c r="I302" s="19"/>
      <c r="J302" s="19"/>
      <c r="K302" s="19"/>
      <c r="L302" s="19"/>
      <c r="M302" s="19"/>
      <c r="N302" s="19"/>
      <c r="O302" s="19"/>
      <c r="P302" s="19"/>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486A0-1D23-4FA9-A12F-AD80C3DCB32A}">
  <dimension ref="A1:J571"/>
  <sheetViews>
    <sheetView workbookViewId="0">
      <selection activeCell="B21" sqref="B21"/>
    </sheetView>
  </sheetViews>
  <sheetFormatPr defaultRowHeight="15"/>
  <cols>
    <col min="1" max="1" width="18.7109375" bestFit="1" customWidth="1"/>
    <col min="2" max="2" width="86.5703125" bestFit="1" customWidth="1"/>
    <col min="3" max="3" width="89.42578125" bestFit="1" customWidth="1"/>
    <col min="4" max="4" width="109.28515625" customWidth="1"/>
    <col min="5" max="5" width="13.140625" bestFit="1" customWidth="1"/>
    <col min="6" max="6" width="7.85546875" bestFit="1" customWidth="1"/>
    <col min="7" max="8" width="13.140625" bestFit="1" customWidth="1"/>
  </cols>
  <sheetData>
    <row r="1" spans="1:10" ht="35.25" customHeight="1">
      <c r="A1" s="65" t="s">
        <v>988</v>
      </c>
      <c r="B1" s="66" t="s">
        <v>989</v>
      </c>
      <c r="C1" s="66" t="s">
        <v>990</v>
      </c>
      <c r="D1" s="66" t="s">
        <v>991</v>
      </c>
    </row>
    <row r="2" spans="1:10" ht="15" customHeight="1">
      <c r="A2" s="67" t="s">
        <v>992</v>
      </c>
      <c r="B2" s="67" t="s">
        <v>993</v>
      </c>
      <c r="C2" s="67" t="s">
        <v>994</v>
      </c>
      <c r="D2" s="26" t="s">
        <v>995</v>
      </c>
      <c r="E2" s="68"/>
      <c r="F2" s="68"/>
      <c r="G2" s="68"/>
      <c r="H2" s="68"/>
      <c r="I2" s="68"/>
      <c r="J2" s="68"/>
    </row>
    <row r="3" spans="1:10" ht="16.5">
      <c r="A3" s="26" t="s">
        <v>996</v>
      </c>
      <c r="B3" s="26" t="s">
        <v>997</v>
      </c>
      <c r="C3" s="26" t="s">
        <v>998</v>
      </c>
      <c r="D3" s="26" t="s">
        <v>999</v>
      </c>
    </row>
    <row r="4" spans="1:10" ht="16.5">
      <c r="A4" s="26" t="s">
        <v>89</v>
      </c>
      <c r="B4" s="26" t="s">
        <v>90</v>
      </c>
      <c r="C4" s="26" t="s">
        <v>1000</v>
      </c>
      <c r="D4" s="26" t="s">
        <v>1001</v>
      </c>
    </row>
    <row r="5" spans="1:10" ht="16.5">
      <c r="A5" s="26" t="s">
        <v>1002</v>
      </c>
      <c r="B5" s="26" t="s">
        <v>1003</v>
      </c>
      <c r="C5" s="26" t="s">
        <v>1004</v>
      </c>
      <c r="D5" s="26" t="s">
        <v>1005</v>
      </c>
    </row>
    <row r="6" spans="1:10" ht="16.5">
      <c r="A6" s="26" t="s">
        <v>1006</v>
      </c>
      <c r="B6" s="26" t="s">
        <v>1007</v>
      </c>
      <c r="C6" s="26" t="s">
        <v>1008</v>
      </c>
      <c r="D6" s="26" t="s">
        <v>1009</v>
      </c>
    </row>
    <row r="7" spans="1:10" ht="16.5">
      <c r="A7" s="26" t="s">
        <v>1010</v>
      </c>
      <c r="B7" s="26" t="s">
        <v>1011</v>
      </c>
      <c r="C7" s="26" t="s">
        <v>1012</v>
      </c>
      <c r="D7" s="26" t="s">
        <v>1013</v>
      </c>
    </row>
    <row r="8" spans="1:10" ht="16.5">
      <c r="A8" s="26" t="s">
        <v>1014</v>
      </c>
      <c r="B8" s="26" t="s">
        <v>1015</v>
      </c>
      <c r="C8" s="26" t="s">
        <v>1016</v>
      </c>
      <c r="D8" s="26" t="s">
        <v>1017</v>
      </c>
    </row>
    <row r="9" spans="1:10" ht="16.5">
      <c r="A9" s="26" t="s">
        <v>1018</v>
      </c>
      <c r="B9" s="26" t="s">
        <v>1019</v>
      </c>
      <c r="C9" s="26" t="s">
        <v>1020</v>
      </c>
      <c r="D9" s="26" t="s">
        <v>1021</v>
      </c>
    </row>
    <row r="10" spans="1:10" ht="16.5">
      <c r="A10" s="26" t="s">
        <v>1022</v>
      </c>
      <c r="B10" s="26" t="s">
        <v>1023</v>
      </c>
      <c r="C10" s="26" t="s">
        <v>1024</v>
      </c>
      <c r="D10" s="26" t="s">
        <v>1025</v>
      </c>
    </row>
    <row r="11" spans="1:10" ht="16.5">
      <c r="A11" s="26" t="s">
        <v>1026</v>
      </c>
      <c r="B11" s="26" t="s">
        <v>1027</v>
      </c>
      <c r="C11" s="26" t="s">
        <v>1028</v>
      </c>
      <c r="D11" s="26" t="s">
        <v>1029</v>
      </c>
    </row>
    <row r="12" spans="1:10" ht="16.5">
      <c r="A12" s="26" t="s">
        <v>1030</v>
      </c>
      <c r="B12" s="26" t="s">
        <v>1031</v>
      </c>
      <c r="C12" s="26" t="s">
        <v>1032</v>
      </c>
      <c r="D12" s="26" t="s">
        <v>1033</v>
      </c>
    </row>
    <row r="13" spans="1:10" ht="16.5">
      <c r="A13" s="26" t="s">
        <v>1034</v>
      </c>
      <c r="B13" s="26" t="s">
        <v>1035</v>
      </c>
      <c r="C13" s="26" t="s">
        <v>1036</v>
      </c>
      <c r="D13" s="26" t="s">
        <v>1037</v>
      </c>
    </row>
    <row r="14" spans="1:10" ht="16.5">
      <c r="A14" s="26" t="s">
        <v>1038</v>
      </c>
      <c r="B14" s="26" t="s">
        <v>1039</v>
      </c>
      <c r="C14" s="26" t="s">
        <v>1036</v>
      </c>
      <c r="D14" s="26" t="s">
        <v>1040</v>
      </c>
    </row>
    <row r="15" spans="1:10" ht="16.5">
      <c r="A15" s="26" t="s">
        <v>1041</v>
      </c>
      <c r="B15" s="26" t="s">
        <v>1042</v>
      </c>
      <c r="C15" s="26" t="s">
        <v>1043</v>
      </c>
      <c r="D15" s="26" t="s">
        <v>1044</v>
      </c>
    </row>
    <row r="16" spans="1:10" ht="16.5">
      <c r="A16" s="26" t="s">
        <v>1045</v>
      </c>
      <c r="B16" s="26" t="s">
        <v>1046</v>
      </c>
      <c r="C16" s="26" t="s">
        <v>1047</v>
      </c>
      <c r="D16" s="26" t="s">
        <v>1048</v>
      </c>
    </row>
    <row r="17" spans="1:4" ht="16.5">
      <c r="A17" s="26" t="s">
        <v>1049</v>
      </c>
      <c r="B17" s="26" t="s">
        <v>1050</v>
      </c>
      <c r="C17" s="26" t="s">
        <v>1051</v>
      </c>
      <c r="D17" s="26" t="s">
        <v>1052</v>
      </c>
    </row>
    <row r="18" spans="1:4" ht="16.5">
      <c r="A18" s="26" t="s">
        <v>1053</v>
      </c>
      <c r="B18" s="26" t="s">
        <v>1054</v>
      </c>
      <c r="C18" s="26" t="s">
        <v>1055</v>
      </c>
      <c r="D18" s="26" t="s">
        <v>1056</v>
      </c>
    </row>
    <row r="19" spans="1:4" ht="16.5">
      <c r="A19" s="26" t="s">
        <v>235</v>
      </c>
      <c r="B19" s="26" t="s">
        <v>236</v>
      </c>
      <c r="C19" s="26" t="s">
        <v>1057</v>
      </c>
      <c r="D19" s="26" t="s">
        <v>1058</v>
      </c>
    </row>
    <row r="20" spans="1:4" ht="16.5">
      <c r="A20" s="26" t="s">
        <v>1059</v>
      </c>
      <c r="B20" s="26" t="s">
        <v>1060</v>
      </c>
      <c r="C20" s="26" t="s">
        <v>1061</v>
      </c>
      <c r="D20" s="26" t="s">
        <v>1062</v>
      </c>
    </row>
    <row r="21" spans="1:4" ht="16.5">
      <c r="A21" s="26" t="s">
        <v>248</v>
      </c>
      <c r="B21" s="26" t="s">
        <v>249</v>
      </c>
      <c r="C21" s="26" t="s">
        <v>1063</v>
      </c>
      <c r="D21" s="26" t="s">
        <v>1064</v>
      </c>
    </row>
    <row r="22" spans="1:4" ht="16.5">
      <c r="A22" s="26" t="s">
        <v>1065</v>
      </c>
      <c r="B22" s="26" t="s">
        <v>1066</v>
      </c>
      <c r="C22" s="26" t="s">
        <v>1067</v>
      </c>
      <c r="D22" s="26" t="s">
        <v>1068</v>
      </c>
    </row>
    <row r="23" spans="1:4" ht="16.5">
      <c r="A23" s="26" t="s">
        <v>1069</v>
      </c>
      <c r="B23" s="26" t="s">
        <v>1070</v>
      </c>
      <c r="C23" s="26" t="s">
        <v>1071</v>
      </c>
      <c r="D23" s="26" t="s">
        <v>1072</v>
      </c>
    </row>
    <row r="24" spans="1:4" ht="16.5">
      <c r="A24" s="26" t="s">
        <v>1073</v>
      </c>
      <c r="B24" s="26" t="s">
        <v>1074</v>
      </c>
      <c r="C24" s="26" t="s">
        <v>1075</v>
      </c>
      <c r="D24" s="26" t="s">
        <v>1076</v>
      </c>
    </row>
    <row r="25" spans="1:4" ht="16.5">
      <c r="A25" s="26" t="s">
        <v>1077</v>
      </c>
      <c r="B25" s="26" t="s">
        <v>1078</v>
      </c>
      <c r="C25" s="26" t="s">
        <v>1079</v>
      </c>
      <c r="D25" s="26" t="s">
        <v>1080</v>
      </c>
    </row>
    <row r="26" spans="1:4" ht="16.5">
      <c r="A26" s="26" t="s">
        <v>1081</v>
      </c>
      <c r="B26" s="26" t="s">
        <v>1082</v>
      </c>
      <c r="C26" s="26" t="s">
        <v>1083</v>
      </c>
      <c r="D26" s="26" t="s">
        <v>1084</v>
      </c>
    </row>
    <row r="27" spans="1:4" ht="16.5">
      <c r="A27" s="26" t="s">
        <v>1085</v>
      </c>
      <c r="B27" s="26" t="s">
        <v>1086</v>
      </c>
      <c r="C27" s="26" t="s">
        <v>1087</v>
      </c>
      <c r="D27" s="26" t="s">
        <v>1088</v>
      </c>
    </row>
    <row r="28" spans="1:4" ht="16.5">
      <c r="A28" s="26" t="s">
        <v>1089</v>
      </c>
      <c r="B28" s="26" t="s">
        <v>1090</v>
      </c>
      <c r="C28" s="26" t="s">
        <v>1091</v>
      </c>
      <c r="D28" s="26" t="s">
        <v>1092</v>
      </c>
    </row>
    <row r="29" spans="1:4" ht="16.5">
      <c r="A29" s="26" t="s">
        <v>1093</v>
      </c>
      <c r="B29" s="26" t="s">
        <v>1094</v>
      </c>
      <c r="C29" s="26" t="s">
        <v>1095</v>
      </c>
      <c r="D29" s="26" t="s">
        <v>1096</v>
      </c>
    </row>
    <row r="30" spans="1:4" ht="16.5">
      <c r="A30" s="26" t="s">
        <v>1097</v>
      </c>
      <c r="B30" s="26" t="s">
        <v>1098</v>
      </c>
      <c r="C30" s="26" t="s">
        <v>1099</v>
      </c>
      <c r="D30" s="26" t="s">
        <v>1100</v>
      </c>
    </row>
    <row r="31" spans="1:4" ht="16.5">
      <c r="A31" s="26" t="s">
        <v>1101</v>
      </c>
      <c r="B31" s="26" t="s">
        <v>1102</v>
      </c>
      <c r="C31" s="26" t="s">
        <v>1103</v>
      </c>
      <c r="D31" s="26" t="s">
        <v>1104</v>
      </c>
    </row>
    <row r="32" spans="1:4" ht="16.5">
      <c r="A32" s="26" t="s">
        <v>1105</v>
      </c>
      <c r="B32" s="26" t="s">
        <v>1106</v>
      </c>
      <c r="C32" s="26" t="s">
        <v>1107</v>
      </c>
      <c r="D32" s="26" t="s">
        <v>1108</v>
      </c>
    </row>
    <row r="33" spans="1:7" ht="16.5">
      <c r="A33" s="26" t="s">
        <v>1109</v>
      </c>
      <c r="B33" s="26" t="s">
        <v>1110</v>
      </c>
      <c r="C33" s="26" t="s">
        <v>1111</v>
      </c>
      <c r="D33" s="26" t="s">
        <v>1112</v>
      </c>
    </row>
    <row r="34" spans="1:7" ht="16.5">
      <c r="A34" s="26" t="s">
        <v>1113</v>
      </c>
      <c r="B34" s="26" t="s">
        <v>1114</v>
      </c>
      <c r="C34" s="26" t="s">
        <v>1115</v>
      </c>
      <c r="D34" s="26" t="s">
        <v>1116</v>
      </c>
    </row>
    <row r="35" spans="1:7" ht="16.5">
      <c r="A35" s="26" t="s">
        <v>1117</v>
      </c>
      <c r="B35" s="26" t="s">
        <v>1118</v>
      </c>
      <c r="C35" s="26" t="s">
        <v>1119</v>
      </c>
      <c r="D35" s="26" t="s">
        <v>1120</v>
      </c>
    </row>
    <row r="36" spans="1:7" ht="16.5">
      <c r="A36" s="26" t="s">
        <v>294</v>
      </c>
      <c r="B36" s="26" t="s">
        <v>295</v>
      </c>
      <c r="C36" s="26" t="s">
        <v>295</v>
      </c>
      <c r="D36" s="26" t="s">
        <v>1121</v>
      </c>
    </row>
    <row r="37" spans="1:7" ht="16.5">
      <c r="A37" s="26" t="s">
        <v>1122</v>
      </c>
      <c r="B37" s="26" t="s">
        <v>1123</v>
      </c>
      <c r="C37" s="26" t="s">
        <v>1124</v>
      </c>
      <c r="D37" s="26" t="s">
        <v>1125</v>
      </c>
    </row>
    <row r="38" spans="1:7" ht="16.5">
      <c r="A38" s="26" t="s">
        <v>304</v>
      </c>
      <c r="B38" s="26" t="s">
        <v>305</v>
      </c>
      <c r="C38" s="26" t="s">
        <v>1126</v>
      </c>
      <c r="D38" s="26" t="s">
        <v>1127</v>
      </c>
    </row>
    <row r="39" spans="1:7" ht="16.5">
      <c r="A39" s="26" t="s">
        <v>1128</v>
      </c>
      <c r="B39" s="26" t="s">
        <v>1129</v>
      </c>
      <c r="C39" s="26" t="s">
        <v>1130</v>
      </c>
      <c r="D39" s="77" t="s">
        <v>1131</v>
      </c>
    </row>
    <row r="40" spans="1:7" ht="16.5">
      <c r="A40" s="26" t="s">
        <v>1132</v>
      </c>
      <c r="B40" s="26" t="s">
        <v>1133</v>
      </c>
      <c r="C40" s="26" t="s">
        <v>1134</v>
      </c>
      <c r="D40" s="26" t="s">
        <v>1135</v>
      </c>
    </row>
    <row r="41" spans="1:7" ht="16.5">
      <c r="A41" s="26" t="s">
        <v>1136</v>
      </c>
      <c r="B41" s="26" t="s">
        <v>1137</v>
      </c>
      <c r="C41" s="26" t="s">
        <v>1138</v>
      </c>
      <c r="D41" s="26" t="s">
        <v>1139</v>
      </c>
    </row>
    <row r="42" spans="1:7" ht="16.5">
      <c r="A42" s="26" t="s">
        <v>1140</v>
      </c>
      <c r="B42" s="26" t="s">
        <v>1141</v>
      </c>
      <c r="C42" s="26" t="s">
        <v>1142</v>
      </c>
      <c r="D42" s="26" t="s">
        <v>1143</v>
      </c>
    </row>
    <row r="43" spans="1:7" ht="16.5">
      <c r="A43" s="26" t="s">
        <v>1144</v>
      </c>
      <c r="B43" s="26" t="s">
        <v>1145</v>
      </c>
      <c r="C43" s="26" t="s">
        <v>1146</v>
      </c>
      <c r="D43" s="26" t="s">
        <v>1147</v>
      </c>
    </row>
    <row r="44" spans="1:7" ht="16.5">
      <c r="A44" s="26" t="s">
        <v>1148</v>
      </c>
      <c r="B44" s="26" t="s">
        <v>1149</v>
      </c>
      <c r="C44" s="26" t="s">
        <v>1150</v>
      </c>
      <c r="D44" s="26" t="s">
        <v>1151</v>
      </c>
    </row>
    <row r="45" spans="1:7" ht="16.5">
      <c r="A45" s="26" t="s">
        <v>1152</v>
      </c>
      <c r="B45" s="26" t="s">
        <v>1153</v>
      </c>
      <c r="C45" s="26" t="s">
        <v>1154</v>
      </c>
      <c r="D45" s="26" t="s">
        <v>1155</v>
      </c>
    </row>
    <row r="46" spans="1:7" ht="16.5">
      <c r="A46" s="26" t="s">
        <v>1156</v>
      </c>
      <c r="B46" s="26" t="s">
        <v>1157</v>
      </c>
      <c r="C46" s="26" t="s">
        <v>1158</v>
      </c>
      <c r="D46" s="26" t="s">
        <v>1159</v>
      </c>
    </row>
    <row r="47" spans="1:7" ht="16.5">
      <c r="A47" s="26" t="s">
        <v>1160</v>
      </c>
      <c r="B47" s="26" t="s">
        <v>1161</v>
      </c>
      <c r="C47" s="26" t="s">
        <v>1162</v>
      </c>
      <c r="D47" s="26" t="s">
        <v>1163</v>
      </c>
    </row>
    <row r="48" spans="1:7" ht="16.5">
      <c r="A48" s="68"/>
      <c r="B48" s="68"/>
      <c r="C48" s="68"/>
      <c r="D48" s="68"/>
      <c r="E48" s="68"/>
      <c r="F48" s="68"/>
      <c r="G48" s="68"/>
    </row>
    <row r="49" spans="1:7" ht="16.5">
      <c r="A49" s="68"/>
      <c r="B49" s="68"/>
      <c r="C49" s="68"/>
      <c r="D49" s="68"/>
      <c r="E49" s="68"/>
      <c r="F49" s="68"/>
      <c r="G49" s="68"/>
    </row>
    <row r="50" spans="1:7" ht="16.5">
      <c r="A50" s="68"/>
      <c r="B50" s="68"/>
      <c r="C50" s="68"/>
      <c r="D50" s="68"/>
      <c r="E50" s="68"/>
      <c r="F50" s="68"/>
      <c r="G50" s="68"/>
    </row>
    <row r="51" spans="1:7" ht="16.5">
      <c r="A51" s="68"/>
      <c r="B51" s="68"/>
      <c r="C51" s="68"/>
      <c r="D51" s="68"/>
      <c r="E51" s="68"/>
      <c r="F51" s="68"/>
      <c r="G51" s="68"/>
    </row>
    <row r="52" spans="1:7" ht="16.5">
      <c r="A52" s="68"/>
      <c r="B52" s="68"/>
      <c r="C52" s="68"/>
      <c r="D52" s="68"/>
      <c r="E52" s="68"/>
      <c r="F52" s="68"/>
      <c r="G52" s="68"/>
    </row>
    <row r="53" spans="1:7" ht="16.5">
      <c r="A53" s="68"/>
      <c r="B53" s="68"/>
      <c r="C53" s="68"/>
      <c r="D53" s="68"/>
      <c r="E53" s="68"/>
      <c r="F53" s="68"/>
      <c r="G53" s="68"/>
    </row>
    <row r="54" spans="1:7" ht="16.5">
      <c r="A54" s="68"/>
      <c r="B54" s="68"/>
      <c r="C54" s="68"/>
      <c r="D54" s="68"/>
      <c r="E54" s="68"/>
      <c r="F54" s="68"/>
      <c r="G54" s="68"/>
    </row>
    <row r="55" spans="1:7" ht="16.5">
      <c r="A55" s="68"/>
      <c r="B55" s="68"/>
      <c r="C55" s="68"/>
      <c r="D55" s="68"/>
      <c r="E55" s="68"/>
      <c r="F55" s="68"/>
      <c r="G55" s="68"/>
    </row>
    <row r="56" spans="1:7" ht="16.5">
      <c r="A56" s="68"/>
      <c r="B56" s="68"/>
      <c r="C56" s="68"/>
      <c r="D56" s="68"/>
      <c r="E56" s="68"/>
      <c r="F56" s="68"/>
      <c r="G56" s="68"/>
    </row>
    <row r="57" spans="1:7" ht="16.5">
      <c r="A57" s="68"/>
      <c r="B57" s="68"/>
      <c r="C57" s="68"/>
      <c r="D57" s="68"/>
      <c r="E57" s="68"/>
      <c r="F57" s="68"/>
      <c r="G57" s="68"/>
    </row>
    <row r="58" spans="1:7" ht="16.5">
      <c r="A58" s="68"/>
      <c r="B58" s="68"/>
      <c r="C58" s="68"/>
      <c r="D58" s="68"/>
      <c r="E58" s="68"/>
      <c r="F58" s="68"/>
      <c r="G58" s="68"/>
    </row>
    <row r="59" spans="1:7" ht="16.5">
      <c r="A59" s="68"/>
      <c r="B59" s="68"/>
      <c r="C59" s="68"/>
      <c r="D59" s="68"/>
      <c r="E59" s="68"/>
      <c r="F59" s="68"/>
      <c r="G59" s="68"/>
    </row>
    <row r="60" spans="1:7" ht="16.5">
      <c r="A60" s="68"/>
      <c r="B60" s="68"/>
      <c r="C60" s="68"/>
      <c r="D60" s="68"/>
      <c r="E60" s="68"/>
      <c r="F60" s="68"/>
      <c r="G60" s="68"/>
    </row>
    <row r="61" spans="1:7" ht="16.5">
      <c r="A61" s="68"/>
      <c r="B61" s="68"/>
      <c r="C61" s="68"/>
      <c r="D61" s="68"/>
      <c r="E61" s="68"/>
      <c r="F61" s="68"/>
      <c r="G61" s="68"/>
    </row>
    <row r="62" spans="1:7" ht="16.5">
      <c r="A62" s="68"/>
      <c r="B62" s="68"/>
      <c r="C62" s="68"/>
      <c r="D62" s="68"/>
      <c r="E62" s="68"/>
      <c r="F62" s="68"/>
      <c r="G62" s="68"/>
    </row>
    <row r="63" spans="1:7" ht="16.5">
      <c r="A63" s="68"/>
      <c r="B63" s="68"/>
      <c r="C63" s="68"/>
      <c r="D63" s="68"/>
      <c r="E63" s="68"/>
      <c r="F63" s="68"/>
      <c r="G63" s="68"/>
    </row>
    <row r="64" spans="1:7" ht="16.5">
      <c r="A64" s="68"/>
      <c r="B64" s="68"/>
      <c r="C64" s="68"/>
      <c r="D64" s="68"/>
      <c r="E64" s="68"/>
      <c r="F64" s="68"/>
      <c r="G64" s="68"/>
    </row>
    <row r="65" spans="1:7" ht="16.5">
      <c r="A65" s="68"/>
      <c r="B65" s="68"/>
      <c r="C65" s="68"/>
      <c r="D65" s="68"/>
      <c r="E65" s="68"/>
      <c r="F65" s="68"/>
      <c r="G65" s="68"/>
    </row>
    <row r="66" spans="1:7" ht="16.5">
      <c r="A66" s="68"/>
      <c r="B66" s="68"/>
      <c r="C66" s="68"/>
      <c r="D66" s="68"/>
      <c r="E66" s="68"/>
      <c r="F66" s="68"/>
      <c r="G66" s="68"/>
    </row>
    <row r="67" spans="1:7" ht="16.5">
      <c r="A67" s="68"/>
      <c r="B67" s="68"/>
      <c r="C67" s="68"/>
      <c r="D67" s="68"/>
      <c r="E67" s="68"/>
      <c r="F67" s="68"/>
      <c r="G67" s="68"/>
    </row>
    <row r="68" spans="1:7" ht="16.5">
      <c r="A68" s="68"/>
      <c r="B68" s="68"/>
      <c r="C68" s="68"/>
      <c r="D68" s="68"/>
      <c r="E68" s="68"/>
      <c r="F68" s="68"/>
      <c r="G68" s="68"/>
    </row>
    <row r="69" spans="1:7" ht="16.5">
      <c r="A69" s="68"/>
      <c r="B69" s="68"/>
      <c r="C69" s="68"/>
      <c r="D69" s="68"/>
      <c r="E69" s="68"/>
      <c r="F69" s="68"/>
      <c r="G69" s="68"/>
    </row>
    <row r="70" spans="1:7" ht="16.5">
      <c r="A70" s="68"/>
      <c r="B70" s="68"/>
      <c r="C70" s="68"/>
      <c r="D70" s="68"/>
      <c r="E70" s="68"/>
      <c r="F70" s="68"/>
      <c r="G70" s="68"/>
    </row>
    <row r="71" spans="1:7" ht="16.5">
      <c r="A71" s="68"/>
      <c r="B71" s="68"/>
      <c r="C71" s="68"/>
      <c r="D71" s="68"/>
      <c r="E71" s="68"/>
      <c r="F71" s="68"/>
      <c r="G71" s="68"/>
    </row>
    <row r="72" spans="1:7" ht="16.5">
      <c r="A72" s="68"/>
      <c r="B72" s="68"/>
      <c r="C72" s="68"/>
      <c r="D72" s="68"/>
      <c r="E72" s="68"/>
      <c r="F72" s="68"/>
      <c r="G72" s="68"/>
    </row>
    <row r="73" spans="1:7" ht="16.5">
      <c r="A73" s="68"/>
      <c r="B73" s="68"/>
      <c r="C73" s="68"/>
      <c r="D73" s="68"/>
      <c r="E73" s="68"/>
      <c r="F73" s="68"/>
      <c r="G73" s="68"/>
    </row>
    <row r="74" spans="1:7" ht="16.5">
      <c r="A74" s="68"/>
      <c r="B74" s="68"/>
      <c r="C74" s="68"/>
      <c r="D74" s="68"/>
      <c r="E74" s="68"/>
      <c r="F74" s="68"/>
      <c r="G74" s="68"/>
    </row>
    <row r="75" spans="1:7" ht="16.5">
      <c r="A75" s="68"/>
      <c r="B75" s="68"/>
      <c r="C75" s="68"/>
      <c r="D75" s="68"/>
      <c r="E75" s="68"/>
      <c r="F75" s="68"/>
      <c r="G75" s="68"/>
    </row>
    <row r="76" spans="1:7" ht="16.5">
      <c r="A76" s="68"/>
      <c r="B76" s="68"/>
      <c r="C76" s="68"/>
      <c r="D76" s="68"/>
      <c r="E76" s="68"/>
      <c r="F76" s="68"/>
      <c r="G76" s="68"/>
    </row>
    <row r="77" spans="1:7" ht="16.5">
      <c r="A77" s="68"/>
      <c r="B77" s="68"/>
      <c r="C77" s="68"/>
      <c r="D77" s="68"/>
      <c r="E77" s="68"/>
      <c r="F77" s="68"/>
      <c r="G77" s="68"/>
    </row>
    <row r="78" spans="1:7" ht="16.5">
      <c r="A78" s="68"/>
      <c r="B78" s="68"/>
      <c r="C78" s="68"/>
      <c r="D78" s="68"/>
      <c r="E78" s="68"/>
      <c r="F78" s="68"/>
      <c r="G78" s="68"/>
    </row>
    <row r="79" spans="1:7" ht="16.5">
      <c r="A79" s="68"/>
      <c r="B79" s="68"/>
      <c r="C79" s="68"/>
      <c r="D79" s="68"/>
      <c r="E79" s="68"/>
      <c r="F79" s="68"/>
      <c r="G79" s="68"/>
    </row>
    <row r="80" spans="1:7" ht="16.5">
      <c r="A80" s="68"/>
      <c r="B80" s="68"/>
      <c r="C80" s="68"/>
      <c r="D80" s="68"/>
      <c r="E80" s="68"/>
      <c r="F80" s="68"/>
      <c r="G80" s="68"/>
    </row>
    <row r="81" spans="1:7" ht="16.5">
      <c r="A81" s="68"/>
      <c r="B81" s="68"/>
      <c r="C81" s="68"/>
      <c r="D81" s="68"/>
      <c r="E81" s="68"/>
      <c r="F81" s="68"/>
      <c r="G81" s="68"/>
    </row>
    <row r="82" spans="1:7" ht="16.5">
      <c r="A82" s="68"/>
      <c r="B82" s="68"/>
      <c r="C82" s="68"/>
      <c r="D82" s="68"/>
      <c r="E82" s="68"/>
      <c r="F82" s="68"/>
      <c r="G82" s="68"/>
    </row>
    <row r="83" spans="1:7" ht="16.5">
      <c r="A83" s="68"/>
      <c r="B83" s="68"/>
      <c r="C83" s="68"/>
      <c r="D83" s="68"/>
      <c r="E83" s="68"/>
      <c r="F83" s="68"/>
      <c r="G83" s="68"/>
    </row>
    <row r="84" spans="1:7" ht="16.5">
      <c r="A84" s="68"/>
      <c r="B84" s="68"/>
      <c r="C84" s="68"/>
      <c r="D84" s="68"/>
      <c r="E84" s="68"/>
      <c r="F84" s="68"/>
      <c r="G84" s="68"/>
    </row>
    <row r="85" spans="1:7" ht="16.5">
      <c r="A85" s="68"/>
      <c r="B85" s="68"/>
      <c r="C85" s="68"/>
      <c r="D85" s="68"/>
      <c r="E85" s="68"/>
      <c r="F85" s="68"/>
      <c r="G85" s="68"/>
    </row>
    <row r="86" spans="1:7" ht="16.5">
      <c r="A86" s="68"/>
      <c r="B86" s="68"/>
      <c r="C86" s="68"/>
      <c r="D86" s="68"/>
      <c r="E86" s="68"/>
      <c r="F86" s="68"/>
      <c r="G86" s="68"/>
    </row>
    <row r="87" spans="1:7" ht="16.5">
      <c r="A87" s="68"/>
      <c r="B87" s="68"/>
      <c r="C87" s="68"/>
      <c r="D87" s="68"/>
      <c r="E87" s="68"/>
      <c r="F87" s="68"/>
      <c r="G87" s="68"/>
    </row>
    <row r="88" spans="1:7" ht="16.5">
      <c r="A88" s="68"/>
      <c r="B88" s="68"/>
      <c r="C88" s="68"/>
      <c r="D88" s="68"/>
      <c r="E88" s="68"/>
      <c r="F88" s="68"/>
      <c r="G88" s="68"/>
    </row>
    <row r="89" spans="1:7" ht="16.5">
      <c r="A89" s="68"/>
      <c r="B89" s="68"/>
      <c r="C89" s="68"/>
      <c r="D89" s="68"/>
      <c r="E89" s="68"/>
      <c r="F89" s="68"/>
      <c r="G89" s="68"/>
    </row>
    <row r="90" spans="1:7" ht="16.5">
      <c r="A90" s="68"/>
      <c r="B90" s="68"/>
      <c r="C90" s="68"/>
      <c r="D90" s="68"/>
      <c r="E90" s="68"/>
      <c r="F90" s="68"/>
      <c r="G90" s="68"/>
    </row>
    <row r="91" spans="1:7" ht="16.5">
      <c r="A91" s="68"/>
      <c r="B91" s="68"/>
      <c r="C91" s="68"/>
      <c r="D91" s="68"/>
      <c r="E91" s="68"/>
      <c r="F91" s="68"/>
      <c r="G91" s="68"/>
    </row>
    <row r="92" spans="1:7" ht="16.5">
      <c r="A92" s="68"/>
      <c r="B92" s="68"/>
      <c r="C92" s="68"/>
      <c r="D92" s="68"/>
      <c r="E92" s="68"/>
      <c r="F92" s="68"/>
      <c r="G92" s="68"/>
    </row>
    <row r="93" spans="1:7" ht="16.5">
      <c r="A93" s="68"/>
      <c r="B93" s="68"/>
      <c r="C93" s="68"/>
      <c r="D93" s="68"/>
      <c r="E93" s="68"/>
      <c r="F93" s="68"/>
      <c r="G93" s="68"/>
    </row>
    <row r="94" spans="1:7" ht="16.5">
      <c r="A94" s="68"/>
      <c r="B94" s="68"/>
      <c r="C94" s="68"/>
      <c r="D94" s="68"/>
      <c r="E94" s="68"/>
      <c r="F94" s="68"/>
      <c r="G94" s="68"/>
    </row>
    <row r="95" spans="1:7" ht="16.5">
      <c r="A95" s="68"/>
      <c r="B95" s="68"/>
      <c r="C95" s="68"/>
      <c r="D95" s="68"/>
      <c r="E95" s="68"/>
      <c r="F95" s="68"/>
      <c r="G95" s="68"/>
    </row>
    <row r="96" spans="1:7" ht="16.5">
      <c r="A96" s="68"/>
      <c r="B96" s="68"/>
      <c r="C96" s="68"/>
      <c r="D96" s="68"/>
      <c r="E96" s="68"/>
      <c r="F96" s="68"/>
      <c r="G96" s="68"/>
    </row>
    <row r="97" spans="1:7" ht="16.5">
      <c r="A97" s="68"/>
      <c r="B97" s="68"/>
      <c r="C97" s="68"/>
      <c r="D97" s="68"/>
      <c r="E97" s="68"/>
      <c r="F97" s="68"/>
      <c r="G97" s="68"/>
    </row>
    <row r="98" spans="1:7" ht="16.5">
      <c r="A98" s="68"/>
      <c r="B98" s="68"/>
      <c r="C98" s="68"/>
      <c r="D98" s="68"/>
      <c r="E98" s="68"/>
      <c r="F98" s="68"/>
      <c r="G98" s="68"/>
    </row>
    <row r="99" spans="1:7" ht="16.5">
      <c r="A99" s="68"/>
      <c r="B99" s="68"/>
      <c r="C99" s="68"/>
      <c r="D99" s="68"/>
      <c r="E99" s="68"/>
      <c r="F99" s="68"/>
      <c r="G99" s="68"/>
    </row>
    <row r="100" spans="1:7" ht="16.5">
      <c r="A100" s="68"/>
      <c r="B100" s="68"/>
      <c r="C100" s="68"/>
      <c r="D100" s="68"/>
      <c r="E100" s="68"/>
      <c r="F100" s="68"/>
      <c r="G100" s="68"/>
    </row>
    <row r="101" spans="1:7" ht="16.5">
      <c r="A101" s="68"/>
      <c r="B101" s="68"/>
      <c r="C101" s="68"/>
      <c r="D101" s="68"/>
      <c r="E101" s="68"/>
      <c r="F101" s="68"/>
      <c r="G101" s="68"/>
    </row>
    <row r="102" spans="1:7" ht="16.5">
      <c r="A102" s="68"/>
      <c r="B102" s="68"/>
      <c r="C102" s="68"/>
      <c r="D102" s="68"/>
      <c r="E102" s="68"/>
      <c r="F102" s="68"/>
      <c r="G102" s="68"/>
    </row>
    <row r="103" spans="1:7" ht="16.5">
      <c r="A103" s="68"/>
      <c r="B103" s="68"/>
      <c r="C103" s="68"/>
      <c r="D103" s="68"/>
      <c r="E103" s="68"/>
      <c r="F103" s="68"/>
      <c r="G103" s="68"/>
    </row>
    <row r="104" spans="1:7" ht="16.5">
      <c r="A104" s="68"/>
      <c r="B104" s="68"/>
      <c r="C104" s="68"/>
      <c r="D104" s="68"/>
      <c r="E104" s="68"/>
      <c r="F104" s="68"/>
      <c r="G104" s="68"/>
    </row>
    <row r="105" spans="1:7" ht="16.5">
      <c r="A105" s="68"/>
      <c r="B105" s="68"/>
      <c r="C105" s="68"/>
      <c r="D105" s="68"/>
      <c r="E105" s="68"/>
      <c r="F105" s="68"/>
      <c r="G105" s="68"/>
    </row>
    <row r="106" spans="1:7" ht="16.5">
      <c r="A106" s="68"/>
      <c r="B106" s="68"/>
      <c r="C106" s="68"/>
      <c r="D106" s="68"/>
      <c r="E106" s="68"/>
      <c r="F106" s="68"/>
      <c r="G106" s="68"/>
    </row>
    <row r="107" spans="1:7" ht="16.5">
      <c r="A107" s="68"/>
      <c r="B107" s="68"/>
      <c r="C107" s="68"/>
      <c r="D107" s="68"/>
      <c r="E107" s="68"/>
      <c r="F107" s="68"/>
      <c r="G107" s="68"/>
    </row>
    <row r="108" spans="1:7" ht="16.5">
      <c r="A108" s="68"/>
      <c r="B108" s="68"/>
      <c r="C108" s="68"/>
      <c r="D108" s="68"/>
      <c r="E108" s="68"/>
      <c r="F108" s="68"/>
      <c r="G108" s="68"/>
    </row>
    <row r="109" spans="1:7" ht="16.5">
      <c r="A109" s="68"/>
      <c r="B109" s="68"/>
      <c r="C109" s="68"/>
      <c r="D109" s="68"/>
      <c r="E109" s="68"/>
      <c r="F109" s="68"/>
      <c r="G109" s="68"/>
    </row>
    <row r="110" spans="1:7" ht="16.5">
      <c r="A110" s="68"/>
      <c r="B110" s="68"/>
      <c r="C110" s="68"/>
      <c r="D110" s="68"/>
      <c r="E110" s="68"/>
      <c r="F110" s="68"/>
      <c r="G110" s="68"/>
    </row>
    <row r="111" spans="1:7" ht="16.5">
      <c r="A111" s="68"/>
      <c r="B111" s="68"/>
      <c r="C111" s="68"/>
      <c r="D111" s="68"/>
      <c r="E111" s="68"/>
      <c r="F111" s="68"/>
      <c r="G111" s="68"/>
    </row>
    <row r="112" spans="1:7" ht="16.5">
      <c r="A112" s="68"/>
      <c r="B112" s="68"/>
      <c r="C112" s="68"/>
      <c r="D112" s="68"/>
      <c r="E112" s="68"/>
      <c r="F112" s="68"/>
      <c r="G112" s="68"/>
    </row>
    <row r="113" spans="1:7" ht="16.5">
      <c r="A113" s="68"/>
      <c r="B113" s="68"/>
      <c r="C113" s="68"/>
      <c r="D113" s="68"/>
      <c r="E113" s="68"/>
      <c r="F113" s="68"/>
      <c r="G113" s="68"/>
    </row>
    <row r="114" spans="1:7" ht="16.5">
      <c r="A114" s="68"/>
      <c r="B114" s="68"/>
      <c r="C114" s="68"/>
      <c r="D114" s="68"/>
      <c r="E114" s="68"/>
      <c r="F114" s="68"/>
      <c r="G114" s="68"/>
    </row>
    <row r="115" spans="1:7" ht="16.5">
      <c r="A115" s="68"/>
      <c r="B115" s="68"/>
      <c r="C115" s="68"/>
      <c r="D115" s="68"/>
      <c r="E115" s="68"/>
      <c r="F115" s="68"/>
      <c r="G115" s="68"/>
    </row>
    <row r="116" spans="1:7" ht="16.5">
      <c r="A116" s="68"/>
      <c r="B116" s="68"/>
      <c r="C116" s="68"/>
      <c r="D116" s="68"/>
      <c r="E116" s="68"/>
      <c r="F116" s="68"/>
      <c r="G116" s="68"/>
    </row>
    <row r="117" spans="1:7" ht="16.5">
      <c r="A117" s="68"/>
      <c r="B117" s="68"/>
      <c r="C117" s="68"/>
      <c r="D117" s="68"/>
      <c r="E117" s="68"/>
      <c r="F117" s="68"/>
      <c r="G117" s="68"/>
    </row>
    <row r="118" spans="1:7" ht="16.5">
      <c r="A118" s="68"/>
      <c r="B118" s="68"/>
      <c r="C118" s="68"/>
      <c r="D118" s="68"/>
      <c r="E118" s="68"/>
      <c r="F118" s="68"/>
      <c r="G118" s="68"/>
    </row>
    <row r="119" spans="1:7" ht="16.5">
      <c r="A119" s="68"/>
      <c r="B119" s="68"/>
      <c r="C119" s="68"/>
      <c r="D119" s="68"/>
      <c r="E119" s="68"/>
      <c r="F119" s="68"/>
      <c r="G119" s="68"/>
    </row>
    <row r="120" spans="1:7" ht="16.5">
      <c r="A120" s="68"/>
      <c r="B120" s="68"/>
      <c r="C120" s="68"/>
      <c r="D120" s="68"/>
      <c r="E120" s="68"/>
      <c r="F120" s="68"/>
      <c r="G120" s="68"/>
    </row>
    <row r="121" spans="1:7" ht="16.5">
      <c r="A121" s="68"/>
      <c r="B121" s="68"/>
      <c r="C121" s="68"/>
      <c r="D121" s="68"/>
      <c r="E121" s="68"/>
      <c r="F121" s="68"/>
      <c r="G121" s="68"/>
    </row>
    <row r="122" spans="1:7" ht="16.5">
      <c r="A122" s="68"/>
      <c r="B122" s="68"/>
      <c r="C122" s="68"/>
      <c r="D122" s="68"/>
      <c r="E122" s="68"/>
      <c r="F122" s="68"/>
      <c r="G122" s="68"/>
    </row>
    <row r="123" spans="1:7" ht="16.5">
      <c r="A123" s="68"/>
      <c r="B123" s="68"/>
      <c r="C123" s="68"/>
      <c r="D123" s="68"/>
      <c r="E123" s="68"/>
      <c r="F123" s="68"/>
      <c r="G123" s="68"/>
    </row>
    <row r="124" spans="1:7" ht="16.5">
      <c r="A124" s="68"/>
      <c r="B124" s="68"/>
      <c r="C124" s="68"/>
      <c r="D124" s="68"/>
      <c r="E124" s="68"/>
      <c r="F124" s="68"/>
      <c r="G124" s="68"/>
    </row>
    <row r="125" spans="1:7" ht="16.5">
      <c r="A125" s="68"/>
      <c r="B125" s="68"/>
      <c r="C125" s="68"/>
      <c r="D125" s="68"/>
      <c r="E125" s="68"/>
      <c r="F125" s="68"/>
      <c r="G125" s="68"/>
    </row>
    <row r="126" spans="1:7" ht="16.5">
      <c r="A126" s="68"/>
      <c r="B126" s="68"/>
      <c r="C126" s="68"/>
      <c r="D126" s="68"/>
      <c r="E126" s="68"/>
      <c r="F126" s="68"/>
      <c r="G126" s="68"/>
    </row>
    <row r="127" spans="1:7" ht="16.5">
      <c r="A127" s="68"/>
      <c r="B127" s="68"/>
      <c r="C127" s="68"/>
      <c r="D127" s="68"/>
      <c r="E127" s="68"/>
      <c r="F127" s="68"/>
      <c r="G127" s="68"/>
    </row>
    <row r="128" spans="1:7" ht="16.5">
      <c r="A128" s="68"/>
      <c r="B128" s="68"/>
      <c r="C128" s="68"/>
      <c r="D128" s="68"/>
      <c r="E128" s="68"/>
      <c r="F128" s="68"/>
      <c r="G128" s="68"/>
    </row>
    <row r="129" spans="1:7" ht="16.5">
      <c r="A129" s="68"/>
      <c r="B129" s="68"/>
      <c r="C129" s="68"/>
      <c r="D129" s="68"/>
      <c r="E129" s="68"/>
      <c r="F129" s="68"/>
      <c r="G129" s="68"/>
    </row>
    <row r="130" spans="1:7" ht="16.5">
      <c r="A130" s="68"/>
      <c r="B130" s="68"/>
      <c r="C130" s="68"/>
      <c r="D130" s="68"/>
      <c r="E130" s="68"/>
      <c r="F130" s="68"/>
      <c r="G130" s="68"/>
    </row>
    <row r="131" spans="1:7" ht="16.5">
      <c r="A131" s="68"/>
      <c r="B131" s="68"/>
      <c r="C131" s="68"/>
      <c r="D131" s="68"/>
      <c r="E131" s="68"/>
      <c r="F131" s="68"/>
      <c r="G131" s="68"/>
    </row>
    <row r="132" spans="1:7" ht="16.5">
      <c r="A132" s="68"/>
      <c r="B132" s="68"/>
      <c r="C132" s="68"/>
      <c r="D132" s="68"/>
      <c r="E132" s="68"/>
      <c r="F132" s="68"/>
      <c r="G132" s="68"/>
    </row>
    <row r="133" spans="1:7" ht="16.5">
      <c r="A133" s="68"/>
      <c r="B133" s="68"/>
      <c r="C133" s="68"/>
      <c r="D133" s="68"/>
      <c r="E133" s="68"/>
      <c r="F133" s="68"/>
      <c r="G133" s="68"/>
    </row>
    <row r="134" spans="1:7" ht="16.5">
      <c r="A134" s="68"/>
      <c r="B134" s="68"/>
      <c r="C134" s="68"/>
      <c r="D134" s="68"/>
      <c r="E134" s="68"/>
      <c r="F134" s="68"/>
      <c r="G134" s="68"/>
    </row>
    <row r="135" spans="1:7" ht="16.5">
      <c r="A135" s="68"/>
      <c r="B135" s="68"/>
      <c r="C135" s="68"/>
      <c r="D135" s="68"/>
      <c r="E135" s="68"/>
      <c r="F135" s="68"/>
      <c r="G135" s="68"/>
    </row>
    <row r="136" spans="1:7" ht="16.5">
      <c r="A136" s="68"/>
      <c r="B136" s="68"/>
      <c r="C136" s="68"/>
      <c r="D136" s="68"/>
      <c r="E136" s="68"/>
      <c r="F136" s="68"/>
      <c r="G136" s="68"/>
    </row>
    <row r="137" spans="1:7" ht="16.5">
      <c r="A137" s="68"/>
      <c r="B137" s="68"/>
      <c r="C137" s="68"/>
      <c r="D137" s="68"/>
      <c r="E137" s="68"/>
      <c r="F137" s="68"/>
      <c r="G137" s="68"/>
    </row>
    <row r="138" spans="1:7" ht="16.5">
      <c r="A138" s="68"/>
      <c r="B138" s="68"/>
      <c r="C138" s="68"/>
      <c r="D138" s="68"/>
      <c r="E138" s="68"/>
      <c r="F138" s="68"/>
      <c r="G138" s="68"/>
    </row>
    <row r="139" spans="1:7" ht="16.5">
      <c r="A139" s="68"/>
      <c r="B139" s="68"/>
      <c r="C139" s="68"/>
      <c r="D139" s="68"/>
      <c r="E139" s="68"/>
      <c r="F139" s="68"/>
      <c r="G139" s="68"/>
    </row>
    <row r="140" spans="1:7" ht="16.5">
      <c r="A140" s="68"/>
      <c r="B140" s="68"/>
      <c r="C140" s="68"/>
      <c r="D140" s="68"/>
      <c r="E140" s="68"/>
      <c r="F140" s="68"/>
      <c r="G140" s="68"/>
    </row>
    <row r="141" spans="1:7" ht="16.5">
      <c r="A141" s="68"/>
      <c r="B141" s="68"/>
      <c r="C141" s="68"/>
      <c r="D141" s="68"/>
      <c r="E141" s="68"/>
      <c r="F141" s="68"/>
      <c r="G141" s="68"/>
    </row>
    <row r="142" spans="1:7" ht="16.5">
      <c r="A142" s="68"/>
      <c r="B142" s="68"/>
      <c r="C142" s="68"/>
      <c r="D142" s="68"/>
      <c r="E142" s="68"/>
      <c r="F142" s="68"/>
      <c r="G142" s="68"/>
    </row>
    <row r="143" spans="1:7" ht="16.5">
      <c r="A143" s="68"/>
      <c r="B143" s="68"/>
      <c r="C143" s="68"/>
      <c r="D143" s="68"/>
      <c r="E143" s="68"/>
      <c r="F143" s="68"/>
      <c r="G143" s="68"/>
    </row>
    <row r="144" spans="1:7" ht="16.5">
      <c r="A144" s="68"/>
      <c r="B144" s="68"/>
      <c r="C144" s="68"/>
      <c r="D144" s="68"/>
      <c r="E144" s="68"/>
      <c r="F144" s="68"/>
      <c r="G144" s="68"/>
    </row>
    <row r="145" spans="1:7" ht="16.5">
      <c r="A145" s="68"/>
      <c r="B145" s="68"/>
      <c r="C145" s="68"/>
      <c r="D145" s="68"/>
      <c r="E145" s="68"/>
      <c r="F145" s="68"/>
      <c r="G145" s="68"/>
    </row>
    <row r="146" spans="1:7" ht="16.5">
      <c r="A146" s="68"/>
      <c r="B146" s="68"/>
      <c r="C146" s="68"/>
      <c r="D146" s="68"/>
      <c r="E146" s="68"/>
      <c r="F146" s="68"/>
      <c r="G146" s="68"/>
    </row>
    <row r="147" spans="1:7" ht="16.5">
      <c r="A147" s="68"/>
      <c r="B147" s="68"/>
      <c r="C147" s="68"/>
      <c r="D147" s="68"/>
      <c r="E147" s="68"/>
      <c r="F147" s="68"/>
      <c r="G147" s="68"/>
    </row>
    <row r="148" spans="1:7" ht="16.5">
      <c r="A148" s="68"/>
      <c r="B148" s="68"/>
      <c r="C148" s="68"/>
      <c r="D148" s="68"/>
      <c r="E148" s="68"/>
      <c r="F148" s="68"/>
      <c r="G148" s="68"/>
    </row>
    <row r="149" spans="1:7" ht="16.5">
      <c r="A149" s="68"/>
      <c r="B149" s="68"/>
      <c r="C149" s="68"/>
      <c r="D149" s="68"/>
      <c r="E149" s="68"/>
      <c r="F149" s="68"/>
      <c r="G149" s="68"/>
    </row>
    <row r="150" spans="1:7" ht="16.5">
      <c r="A150" s="68"/>
      <c r="B150" s="68"/>
      <c r="C150" s="68"/>
      <c r="D150" s="68"/>
      <c r="E150" s="68"/>
      <c r="F150" s="68"/>
      <c r="G150" s="68"/>
    </row>
    <row r="151" spans="1:7" ht="16.5">
      <c r="A151" s="68"/>
      <c r="B151" s="68"/>
      <c r="C151" s="68"/>
      <c r="D151" s="68"/>
      <c r="E151" s="68"/>
      <c r="F151" s="68"/>
      <c r="G151" s="68"/>
    </row>
    <row r="152" spans="1:7" ht="16.5">
      <c r="A152" s="68"/>
      <c r="B152" s="68"/>
      <c r="C152" s="68"/>
      <c r="D152" s="68"/>
      <c r="E152" s="68"/>
      <c r="F152" s="68"/>
      <c r="G152" s="68"/>
    </row>
    <row r="153" spans="1:7" ht="16.5">
      <c r="A153" s="68"/>
      <c r="B153" s="68"/>
      <c r="C153" s="68"/>
      <c r="D153" s="68"/>
      <c r="E153" s="68"/>
      <c r="F153" s="68"/>
      <c r="G153" s="68"/>
    </row>
    <row r="154" spans="1:7" ht="16.5">
      <c r="A154" s="68"/>
      <c r="B154" s="68"/>
      <c r="C154" s="68"/>
      <c r="D154" s="68"/>
      <c r="E154" s="68"/>
      <c r="F154" s="68"/>
      <c r="G154" s="68"/>
    </row>
    <row r="155" spans="1:7" ht="16.5">
      <c r="A155" s="68"/>
      <c r="B155" s="68"/>
      <c r="C155" s="68"/>
      <c r="D155" s="68"/>
      <c r="E155" s="68"/>
      <c r="F155" s="68"/>
      <c r="G155" s="68"/>
    </row>
    <row r="156" spans="1:7" ht="16.5">
      <c r="A156" s="68"/>
      <c r="B156" s="68"/>
      <c r="C156" s="68"/>
      <c r="D156" s="68"/>
      <c r="E156" s="68"/>
      <c r="F156" s="68"/>
      <c r="G156" s="68"/>
    </row>
    <row r="157" spans="1:7" ht="16.5">
      <c r="A157" s="68"/>
      <c r="B157" s="68"/>
      <c r="C157" s="68"/>
      <c r="D157" s="68"/>
      <c r="E157" s="68"/>
      <c r="F157" s="68"/>
      <c r="G157" s="68"/>
    </row>
    <row r="158" spans="1:7" ht="16.5">
      <c r="A158" s="68"/>
      <c r="B158" s="68"/>
      <c r="C158" s="68"/>
      <c r="D158" s="68"/>
      <c r="E158" s="68"/>
      <c r="F158" s="68"/>
      <c r="G158" s="68"/>
    </row>
    <row r="159" spans="1:7" ht="16.5">
      <c r="A159" s="68"/>
      <c r="B159" s="68"/>
      <c r="C159" s="68"/>
      <c r="D159" s="68"/>
      <c r="E159" s="68"/>
      <c r="F159" s="68"/>
      <c r="G159" s="68"/>
    </row>
    <row r="160" spans="1:7" ht="16.5">
      <c r="A160" s="68"/>
      <c r="B160" s="68"/>
      <c r="C160" s="68"/>
      <c r="D160" s="68"/>
      <c r="E160" s="68"/>
      <c r="F160" s="68"/>
      <c r="G160" s="68"/>
    </row>
    <row r="161" spans="1:7" ht="16.5">
      <c r="A161" s="68"/>
      <c r="B161" s="68"/>
      <c r="C161" s="68"/>
      <c r="D161" s="68"/>
      <c r="E161" s="68"/>
      <c r="F161" s="68"/>
      <c r="G161" s="68"/>
    </row>
    <row r="162" spans="1:7" ht="16.5">
      <c r="A162" s="68"/>
      <c r="B162" s="68"/>
      <c r="C162" s="68"/>
      <c r="D162" s="68"/>
      <c r="E162" s="68"/>
      <c r="F162" s="68"/>
      <c r="G162" s="68"/>
    </row>
    <row r="163" spans="1:7" ht="16.5">
      <c r="A163" s="68"/>
      <c r="B163" s="68"/>
      <c r="C163" s="68"/>
      <c r="D163" s="68"/>
      <c r="E163" s="68"/>
      <c r="F163" s="68"/>
      <c r="G163" s="68"/>
    </row>
    <row r="164" spans="1:7" ht="16.5">
      <c r="A164" s="68"/>
      <c r="B164" s="68"/>
      <c r="C164" s="68"/>
      <c r="D164" s="68"/>
      <c r="E164" s="68"/>
      <c r="F164" s="68"/>
      <c r="G164" s="68"/>
    </row>
    <row r="165" spans="1:7" ht="16.5">
      <c r="A165" s="68"/>
      <c r="B165" s="68"/>
      <c r="C165" s="68"/>
      <c r="D165" s="68"/>
      <c r="E165" s="68"/>
      <c r="F165" s="68"/>
      <c r="G165" s="68"/>
    </row>
    <row r="166" spans="1:7" ht="16.5">
      <c r="A166" s="68"/>
      <c r="B166" s="68"/>
      <c r="C166" s="68"/>
      <c r="D166" s="68"/>
      <c r="E166" s="68"/>
      <c r="F166" s="68"/>
      <c r="G166" s="68"/>
    </row>
    <row r="167" spans="1:7" ht="16.5">
      <c r="A167" s="68"/>
      <c r="B167" s="68"/>
      <c r="C167" s="68"/>
      <c r="D167" s="68"/>
      <c r="E167" s="68"/>
      <c r="F167" s="68"/>
      <c r="G167" s="68"/>
    </row>
    <row r="168" spans="1:7" ht="16.5">
      <c r="A168" s="68"/>
      <c r="B168" s="68"/>
      <c r="C168" s="68"/>
      <c r="D168" s="68"/>
      <c r="E168" s="68"/>
      <c r="F168" s="68"/>
      <c r="G168" s="68"/>
    </row>
    <row r="169" spans="1:7" ht="16.5">
      <c r="A169" s="68"/>
      <c r="B169" s="68"/>
      <c r="C169" s="68"/>
      <c r="D169" s="68"/>
      <c r="E169" s="68"/>
      <c r="F169" s="68"/>
      <c r="G169" s="68"/>
    </row>
    <row r="170" spans="1:7" ht="16.5">
      <c r="A170" s="68"/>
      <c r="B170" s="68"/>
      <c r="C170" s="68"/>
      <c r="D170" s="68"/>
      <c r="E170" s="68"/>
      <c r="F170" s="68"/>
      <c r="G170" s="68"/>
    </row>
    <row r="171" spans="1:7" ht="16.5">
      <c r="A171" s="68"/>
      <c r="B171" s="68"/>
      <c r="C171" s="68"/>
      <c r="D171" s="68"/>
      <c r="E171" s="68"/>
      <c r="F171" s="68"/>
      <c r="G171" s="68"/>
    </row>
    <row r="172" spans="1:7" ht="16.5">
      <c r="A172" s="68"/>
      <c r="B172" s="68"/>
      <c r="C172" s="68"/>
      <c r="D172" s="68"/>
      <c r="E172" s="68"/>
      <c r="F172" s="68"/>
      <c r="G172" s="68"/>
    </row>
    <row r="173" spans="1:7" ht="16.5">
      <c r="A173" s="68"/>
      <c r="B173" s="68"/>
      <c r="C173" s="68"/>
      <c r="D173" s="68"/>
      <c r="E173" s="68"/>
      <c r="F173" s="68"/>
      <c r="G173" s="68"/>
    </row>
    <row r="174" spans="1:7" ht="16.5">
      <c r="A174" s="68"/>
      <c r="B174" s="68"/>
      <c r="C174" s="68"/>
      <c r="D174" s="68"/>
      <c r="E174" s="68"/>
      <c r="F174" s="68"/>
      <c r="G174" s="68"/>
    </row>
    <row r="175" spans="1:7" ht="16.5">
      <c r="A175" s="68"/>
      <c r="B175" s="68"/>
      <c r="C175" s="68"/>
      <c r="D175" s="68"/>
      <c r="E175" s="68"/>
      <c r="F175" s="68"/>
      <c r="G175" s="68"/>
    </row>
    <row r="176" spans="1:7" ht="16.5">
      <c r="A176" s="68"/>
      <c r="B176" s="68"/>
      <c r="C176" s="68"/>
      <c r="D176" s="68"/>
      <c r="E176" s="68"/>
      <c r="F176" s="68"/>
      <c r="G176" s="68"/>
    </row>
    <row r="177" spans="1:7" ht="16.5">
      <c r="A177" s="68"/>
      <c r="B177" s="68"/>
      <c r="C177" s="68"/>
      <c r="D177" s="68"/>
      <c r="E177" s="68"/>
      <c r="F177" s="68"/>
      <c r="G177" s="68"/>
    </row>
    <row r="178" spans="1:7" ht="16.5">
      <c r="A178" s="68"/>
      <c r="B178" s="68"/>
      <c r="C178" s="68"/>
      <c r="D178" s="68"/>
      <c r="E178" s="68"/>
      <c r="F178" s="68"/>
      <c r="G178" s="68"/>
    </row>
    <row r="179" spans="1:7" ht="16.5">
      <c r="A179" s="68"/>
      <c r="B179" s="68"/>
      <c r="C179" s="68"/>
      <c r="D179" s="68"/>
      <c r="E179" s="68"/>
      <c r="F179" s="68"/>
      <c r="G179" s="68"/>
    </row>
    <row r="180" spans="1:7" ht="16.5">
      <c r="A180" s="68"/>
      <c r="B180" s="68"/>
      <c r="C180" s="68"/>
      <c r="D180" s="68"/>
      <c r="E180" s="68"/>
      <c r="F180" s="68"/>
      <c r="G180" s="68"/>
    </row>
    <row r="181" spans="1:7" ht="16.5">
      <c r="A181" s="68"/>
      <c r="B181" s="68"/>
      <c r="C181" s="68"/>
      <c r="D181" s="68"/>
      <c r="E181" s="68"/>
      <c r="F181" s="68"/>
      <c r="G181" s="68"/>
    </row>
    <row r="182" spans="1:7" ht="16.5">
      <c r="A182" s="68"/>
      <c r="B182" s="68"/>
      <c r="C182" s="68"/>
      <c r="D182" s="68"/>
      <c r="E182" s="68"/>
      <c r="F182" s="68"/>
      <c r="G182" s="68"/>
    </row>
    <row r="183" spans="1:7" ht="16.5">
      <c r="A183" s="68"/>
      <c r="B183" s="68"/>
      <c r="C183" s="68"/>
      <c r="D183" s="68"/>
      <c r="E183" s="68"/>
      <c r="F183" s="68"/>
      <c r="G183" s="68"/>
    </row>
    <row r="184" spans="1:7" ht="16.5">
      <c r="A184" s="68"/>
      <c r="B184" s="68"/>
      <c r="C184" s="68"/>
      <c r="D184" s="68"/>
      <c r="E184" s="68"/>
      <c r="F184" s="68"/>
      <c r="G184" s="68"/>
    </row>
    <row r="185" spans="1:7" ht="16.5">
      <c r="A185" s="68"/>
      <c r="B185" s="68"/>
      <c r="C185" s="68"/>
      <c r="D185" s="68"/>
      <c r="E185" s="68"/>
      <c r="F185" s="68"/>
      <c r="G185" s="68"/>
    </row>
    <row r="186" spans="1:7" ht="16.5">
      <c r="A186" s="68"/>
      <c r="B186" s="68"/>
      <c r="C186" s="68"/>
      <c r="D186" s="68"/>
      <c r="E186" s="68"/>
      <c r="F186" s="68"/>
      <c r="G186" s="68"/>
    </row>
    <row r="187" spans="1:7" ht="16.5">
      <c r="A187" s="68"/>
      <c r="B187" s="68"/>
      <c r="C187" s="68"/>
      <c r="D187" s="68"/>
      <c r="E187" s="68"/>
      <c r="F187" s="68"/>
      <c r="G187" s="68"/>
    </row>
    <row r="188" spans="1:7" ht="16.5">
      <c r="A188" s="68"/>
      <c r="B188" s="68"/>
      <c r="C188" s="68"/>
      <c r="D188" s="68"/>
      <c r="E188" s="68"/>
      <c r="F188" s="68"/>
      <c r="G188" s="68"/>
    </row>
    <row r="189" spans="1:7" ht="16.5">
      <c r="A189" s="68"/>
      <c r="B189" s="68"/>
      <c r="C189" s="68"/>
      <c r="D189" s="68"/>
      <c r="E189" s="68"/>
      <c r="F189" s="68"/>
      <c r="G189" s="68"/>
    </row>
    <row r="190" spans="1:7" ht="16.5">
      <c r="A190" s="68"/>
      <c r="B190" s="68"/>
      <c r="C190" s="68"/>
      <c r="D190" s="68"/>
      <c r="E190" s="68"/>
      <c r="F190" s="68"/>
      <c r="G190" s="68"/>
    </row>
    <row r="191" spans="1:7" ht="16.5">
      <c r="A191" s="68"/>
      <c r="B191" s="68"/>
      <c r="C191" s="68"/>
      <c r="D191" s="68"/>
      <c r="E191" s="68"/>
      <c r="F191" s="68"/>
      <c r="G191" s="68"/>
    </row>
    <row r="192" spans="1:7" ht="16.5">
      <c r="A192" s="68"/>
      <c r="B192" s="68"/>
      <c r="C192" s="68"/>
      <c r="D192" s="68"/>
      <c r="E192" s="68"/>
      <c r="F192" s="68"/>
      <c r="G192" s="68"/>
    </row>
    <row r="193" spans="1:7" ht="16.5">
      <c r="A193" s="68"/>
      <c r="B193" s="68"/>
      <c r="C193" s="68"/>
      <c r="D193" s="68"/>
      <c r="E193" s="68"/>
      <c r="F193" s="68"/>
      <c r="G193" s="68"/>
    </row>
    <row r="194" spans="1:7" ht="16.5">
      <c r="A194" s="68"/>
      <c r="B194" s="68"/>
      <c r="C194" s="68"/>
      <c r="D194" s="68"/>
      <c r="E194" s="68"/>
      <c r="F194" s="68"/>
      <c r="G194" s="68"/>
    </row>
    <row r="195" spans="1:7" ht="16.5">
      <c r="A195" s="68"/>
      <c r="B195" s="68"/>
      <c r="C195" s="68"/>
      <c r="D195" s="68"/>
      <c r="E195" s="68"/>
      <c r="F195" s="68"/>
      <c r="G195" s="68"/>
    </row>
    <row r="196" spans="1:7" ht="16.5">
      <c r="A196" s="68"/>
      <c r="B196" s="68"/>
      <c r="C196" s="68"/>
      <c r="D196" s="68"/>
      <c r="E196" s="68"/>
      <c r="F196" s="68"/>
      <c r="G196" s="68"/>
    </row>
    <row r="197" spans="1:7" ht="16.5">
      <c r="A197" s="68"/>
      <c r="B197" s="68"/>
      <c r="C197" s="68"/>
      <c r="D197" s="68"/>
      <c r="E197" s="68"/>
      <c r="F197" s="68"/>
      <c r="G197" s="68"/>
    </row>
    <row r="198" spans="1:7" ht="16.5">
      <c r="A198" s="68"/>
      <c r="B198" s="68"/>
      <c r="C198" s="68"/>
      <c r="D198" s="68"/>
      <c r="E198" s="68"/>
      <c r="F198" s="68"/>
      <c r="G198" s="68"/>
    </row>
    <row r="199" spans="1:7" ht="16.5">
      <c r="A199" s="68"/>
      <c r="B199" s="68"/>
      <c r="C199" s="68"/>
      <c r="D199" s="68"/>
      <c r="E199" s="68"/>
      <c r="F199" s="68"/>
      <c r="G199" s="68"/>
    </row>
    <row r="200" spans="1:7" ht="16.5">
      <c r="A200" s="68"/>
      <c r="B200" s="68"/>
      <c r="C200" s="68"/>
      <c r="D200" s="68"/>
      <c r="E200" s="68"/>
      <c r="F200" s="68"/>
      <c r="G200" s="68"/>
    </row>
    <row r="201" spans="1:7" ht="16.5">
      <c r="A201" s="68"/>
      <c r="B201" s="68"/>
      <c r="C201" s="68"/>
      <c r="D201" s="68"/>
      <c r="E201" s="68"/>
      <c r="F201" s="68"/>
      <c r="G201" s="68"/>
    </row>
    <row r="202" spans="1:7" ht="16.5">
      <c r="A202" s="68"/>
      <c r="B202" s="68"/>
      <c r="C202" s="68"/>
      <c r="D202" s="68"/>
      <c r="E202" s="68"/>
      <c r="F202" s="68"/>
      <c r="G202" s="68"/>
    </row>
    <row r="203" spans="1:7" ht="16.5">
      <c r="A203" s="68"/>
      <c r="B203" s="68"/>
      <c r="C203" s="68"/>
      <c r="D203" s="68"/>
      <c r="E203" s="68"/>
      <c r="F203" s="68"/>
      <c r="G203" s="68"/>
    </row>
    <row r="204" spans="1:7" ht="16.5">
      <c r="A204" s="68"/>
      <c r="B204" s="68"/>
      <c r="C204" s="68"/>
      <c r="D204" s="68"/>
      <c r="E204" s="68"/>
      <c r="F204" s="68"/>
      <c r="G204" s="68"/>
    </row>
    <row r="205" spans="1:7" ht="16.5">
      <c r="A205" s="68"/>
      <c r="B205" s="68"/>
      <c r="C205" s="68"/>
      <c r="D205" s="68"/>
      <c r="E205" s="68"/>
      <c r="F205" s="68"/>
      <c r="G205" s="68"/>
    </row>
    <row r="206" spans="1:7" ht="16.5">
      <c r="A206" s="68"/>
      <c r="B206" s="68"/>
      <c r="C206" s="68"/>
      <c r="D206" s="68"/>
      <c r="E206" s="68"/>
      <c r="F206" s="68"/>
      <c r="G206" s="68"/>
    </row>
    <row r="207" spans="1:7" ht="16.5">
      <c r="A207" s="68"/>
      <c r="B207" s="68"/>
      <c r="C207" s="68"/>
      <c r="D207" s="68"/>
      <c r="E207" s="68"/>
      <c r="F207" s="68"/>
      <c r="G207" s="68"/>
    </row>
    <row r="208" spans="1:7" ht="16.5">
      <c r="A208" s="68"/>
      <c r="B208" s="68"/>
      <c r="C208" s="68"/>
      <c r="D208" s="68"/>
      <c r="E208" s="68"/>
      <c r="F208" s="68"/>
      <c r="G208" s="68"/>
    </row>
    <row r="209" spans="1:7" ht="16.5">
      <c r="A209" s="68"/>
      <c r="B209" s="68"/>
      <c r="C209" s="68"/>
      <c r="D209" s="68"/>
      <c r="E209" s="68"/>
      <c r="F209" s="68"/>
      <c r="G209" s="68"/>
    </row>
    <row r="210" spans="1:7" ht="16.5">
      <c r="A210" s="68"/>
      <c r="B210" s="68"/>
      <c r="C210" s="68"/>
      <c r="D210" s="68"/>
      <c r="E210" s="68"/>
      <c r="F210" s="68"/>
      <c r="G210" s="68"/>
    </row>
    <row r="211" spans="1:7" ht="16.5">
      <c r="A211" s="68"/>
      <c r="B211" s="68"/>
      <c r="C211" s="68"/>
      <c r="D211" s="68"/>
      <c r="E211" s="68"/>
      <c r="F211" s="68"/>
      <c r="G211" s="68"/>
    </row>
    <row r="212" spans="1:7" ht="16.5">
      <c r="A212" s="68"/>
      <c r="B212" s="68"/>
      <c r="C212" s="68"/>
      <c r="D212" s="68"/>
      <c r="E212" s="68"/>
      <c r="F212" s="68"/>
      <c r="G212" s="68"/>
    </row>
    <row r="213" spans="1:7" ht="16.5">
      <c r="A213" s="68"/>
      <c r="B213" s="68"/>
      <c r="C213" s="68"/>
      <c r="D213" s="68"/>
      <c r="E213" s="68"/>
      <c r="F213" s="68"/>
      <c r="G213" s="68"/>
    </row>
    <row r="214" spans="1:7" ht="16.5">
      <c r="A214" s="68"/>
      <c r="B214" s="68"/>
      <c r="C214" s="68"/>
      <c r="D214" s="68"/>
      <c r="E214" s="68"/>
      <c r="F214" s="68"/>
      <c r="G214" s="68"/>
    </row>
    <row r="215" spans="1:7" ht="16.5">
      <c r="A215" s="68"/>
      <c r="B215" s="68"/>
      <c r="C215" s="68"/>
      <c r="D215" s="68"/>
      <c r="E215" s="68"/>
      <c r="F215" s="68"/>
      <c r="G215" s="68"/>
    </row>
    <row r="216" spans="1:7" ht="16.5">
      <c r="A216" s="68"/>
      <c r="B216" s="68"/>
      <c r="C216" s="68"/>
      <c r="D216" s="68"/>
      <c r="E216" s="68"/>
      <c r="F216" s="68"/>
      <c r="G216" s="68"/>
    </row>
    <row r="217" spans="1:7" ht="16.5">
      <c r="A217" s="68"/>
      <c r="B217" s="68"/>
      <c r="C217" s="68"/>
      <c r="D217" s="68"/>
      <c r="E217" s="68"/>
      <c r="F217" s="68"/>
      <c r="G217" s="68"/>
    </row>
    <row r="218" spans="1:7" ht="16.5">
      <c r="A218" s="68"/>
      <c r="B218" s="68"/>
      <c r="C218" s="68"/>
      <c r="D218" s="68"/>
      <c r="E218" s="68"/>
      <c r="F218" s="68"/>
      <c r="G218" s="68"/>
    </row>
    <row r="219" spans="1:7" ht="16.5">
      <c r="A219" s="68"/>
      <c r="B219" s="68"/>
      <c r="C219" s="68"/>
      <c r="D219" s="68"/>
      <c r="E219" s="68"/>
      <c r="F219" s="68"/>
      <c r="G219" s="68"/>
    </row>
    <row r="220" spans="1:7" ht="16.5">
      <c r="A220" s="68"/>
      <c r="B220" s="68"/>
      <c r="C220" s="68"/>
      <c r="D220" s="68"/>
      <c r="E220" s="68"/>
      <c r="F220" s="68"/>
      <c r="G220" s="68"/>
    </row>
    <row r="221" spans="1:7" ht="16.5">
      <c r="A221" s="68"/>
      <c r="B221" s="68"/>
      <c r="C221" s="68"/>
      <c r="D221" s="68"/>
      <c r="E221" s="68"/>
      <c r="F221" s="68"/>
      <c r="G221" s="68"/>
    </row>
    <row r="222" spans="1:7" ht="16.5">
      <c r="A222" s="68"/>
      <c r="B222" s="68"/>
      <c r="C222" s="68"/>
      <c r="D222" s="68"/>
      <c r="E222" s="68"/>
      <c r="F222" s="68"/>
      <c r="G222" s="68"/>
    </row>
    <row r="223" spans="1:7" ht="16.5">
      <c r="A223" s="68"/>
      <c r="B223" s="68"/>
      <c r="C223" s="68"/>
      <c r="D223" s="68"/>
      <c r="E223" s="68"/>
      <c r="F223" s="68"/>
      <c r="G223" s="68"/>
    </row>
    <row r="224" spans="1:7" ht="16.5">
      <c r="A224" s="68"/>
      <c r="B224" s="68"/>
      <c r="C224" s="68"/>
      <c r="D224" s="68"/>
      <c r="E224" s="68"/>
      <c r="F224" s="68"/>
      <c r="G224" s="68"/>
    </row>
    <row r="225" spans="1:7" ht="16.5">
      <c r="A225" s="68"/>
      <c r="B225" s="68"/>
      <c r="C225" s="68"/>
      <c r="D225" s="68"/>
      <c r="E225" s="68"/>
      <c r="F225" s="68"/>
      <c r="G225" s="68"/>
    </row>
    <row r="226" spans="1:7" ht="16.5">
      <c r="A226" s="68"/>
      <c r="B226" s="68"/>
      <c r="C226" s="68"/>
      <c r="D226" s="68"/>
      <c r="E226" s="68"/>
      <c r="F226" s="68"/>
      <c r="G226" s="68"/>
    </row>
    <row r="227" spans="1:7" ht="16.5">
      <c r="A227" s="68"/>
      <c r="B227" s="68"/>
      <c r="C227" s="68"/>
      <c r="D227" s="68"/>
      <c r="E227" s="68"/>
      <c r="F227" s="68"/>
      <c r="G227" s="68"/>
    </row>
    <row r="228" spans="1:7" ht="16.5">
      <c r="A228" s="68"/>
      <c r="B228" s="68"/>
      <c r="C228" s="68"/>
      <c r="D228" s="68"/>
      <c r="E228" s="68"/>
      <c r="F228" s="68"/>
      <c r="G228" s="68"/>
    </row>
    <row r="229" spans="1:7" ht="16.5">
      <c r="A229" s="68"/>
      <c r="B229" s="68"/>
      <c r="C229" s="68"/>
      <c r="D229" s="68"/>
      <c r="E229" s="68"/>
      <c r="F229" s="68"/>
      <c r="G229" s="68"/>
    </row>
    <row r="230" spans="1:7" ht="16.5">
      <c r="A230" s="68"/>
      <c r="B230" s="68"/>
      <c r="C230" s="68"/>
      <c r="D230" s="68"/>
      <c r="E230" s="68"/>
      <c r="F230" s="68"/>
      <c r="G230" s="68"/>
    </row>
    <row r="231" spans="1:7" ht="16.5">
      <c r="A231" s="68"/>
      <c r="B231" s="68"/>
      <c r="C231" s="68"/>
      <c r="D231" s="68"/>
      <c r="E231" s="68"/>
      <c r="F231" s="68"/>
      <c r="G231" s="68"/>
    </row>
    <row r="232" spans="1:7" ht="16.5">
      <c r="A232" s="68"/>
      <c r="B232" s="68"/>
      <c r="C232" s="68"/>
      <c r="D232" s="68"/>
      <c r="E232" s="68"/>
      <c r="F232" s="68"/>
      <c r="G232" s="68"/>
    </row>
    <row r="233" spans="1:7" ht="16.5">
      <c r="A233" s="68"/>
      <c r="B233" s="68"/>
      <c r="C233" s="68"/>
      <c r="D233" s="68"/>
      <c r="E233" s="68"/>
      <c r="F233" s="68"/>
      <c r="G233" s="68"/>
    </row>
    <row r="234" spans="1:7" ht="16.5">
      <c r="A234" s="68"/>
      <c r="B234" s="68"/>
      <c r="C234" s="68"/>
      <c r="D234" s="68"/>
      <c r="E234" s="68"/>
      <c r="F234" s="68"/>
      <c r="G234" s="68"/>
    </row>
    <row r="235" spans="1:7" ht="16.5">
      <c r="A235" s="68"/>
      <c r="B235" s="68"/>
      <c r="C235" s="68"/>
      <c r="D235" s="68"/>
      <c r="E235" s="68"/>
      <c r="F235" s="68"/>
      <c r="G235" s="68"/>
    </row>
    <row r="236" spans="1:7" ht="16.5">
      <c r="A236" s="68"/>
      <c r="B236" s="68"/>
      <c r="C236" s="68"/>
      <c r="D236" s="68"/>
      <c r="E236" s="68"/>
      <c r="F236" s="68"/>
      <c r="G236" s="68"/>
    </row>
    <row r="237" spans="1:7" ht="16.5">
      <c r="A237" s="68"/>
      <c r="B237" s="68"/>
      <c r="C237" s="68"/>
      <c r="D237" s="68"/>
      <c r="E237" s="68"/>
      <c r="F237" s="68"/>
      <c r="G237" s="68"/>
    </row>
    <row r="238" spans="1:7" ht="16.5">
      <c r="A238" s="68"/>
      <c r="B238" s="68"/>
      <c r="C238" s="68"/>
      <c r="D238" s="68"/>
      <c r="E238" s="68"/>
      <c r="F238" s="68"/>
      <c r="G238" s="68"/>
    </row>
    <row r="239" spans="1:7" ht="16.5">
      <c r="A239" s="68"/>
      <c r="B239" s="68"/>
      <c r="C239" s="68"/>
      <c r="D239" s="68"/>
      <c r="E239" s="68"/>
      <c r="F239" s="68"/>
      <c r="G239" s="68"/>
    </row>
    <row r="240" spans="1:7" ht="16.5">
      <c r="A240" s="68"/>
      <c r="B240" s="68"/>
      <c r="C240" s="68"/>
      <c r="D240" s="68"/>
      <c r="E240" s="68"/>
      <c r="F240" s="68"/>
      <c r="G240" s="68"/>
    </row>
    <row r="241" spans="1:7" ht="16.5">
      <c r="A241" s="68"/>
      <c r="B241" s="68"/>
      <c r="C241" s="68"/>
      <c r="D241" s="68"/>
      <c r="E241" s="68"/>
      <c r="F241" s="68"/>
      <c r="G241" s="68"/>
    </row>
    <row r="242" spans="1:7" ht="16.5">
      <c r="A242" s="68"/>
      <c r="B242" s="68"/>
      <c r="C242" s="68"/>
      <c r="D242" s="68"/>
      <c r="E242" s="68"/>
      <c r="F242" s="68"/>
      <c r="G242" s="68"/>
    </row>
    <row r="243" spans="1:7" ht="16.5">
      <c r="A243" s="68"/>
      <c r="B243" s="68"/>
      <c r="C243" s="68"/>
      <c r="D243" s="68"/>
      <c r="E243" s="68"/>
      <c r="F243" s="68"/>
      <c r="G243" s="68"/>
    </row>
    <row r="244" spans="1:7" ht="16.5">
      <c r="A244" s="68"/>
      <c r="B244" s="68"/>
      <c r="C244" s="68"/>
      <c r="D244" s="68"/>
      <c r="E244" s="68"/>
      <c r="F244" s="68"/>
      <c r="G244" s="68"/>
    </row>
    <row r="245" spans="1:7" ht="16.5">
      <c r="A245" s="68"/>
      <c r="B245" s="68"/>
      <c r="C245" s="68"/>
      <c r="D245" s="68"/>
      <c r="E245" s="68"/>
      <c r="F245" s="68"/>
      <c r="G245" s="68"/>
    </row>
    <row r="246" spans="1:7" ht="16.5">
      <c r="A246" s="68"/>
      <c r="B246" s="68"/>
      <c r="C246" s="68"/>
      <c r="D246" s="68"/>
      <c r="E246" s="68"/>
      <c r="F246" s="68"/>
      <c r="G246" s="68"/>
    </row>
    <row r="247" spans="1:7" ht="16.5">
      <c r="A247" s="68"/>
      <c r="B247" s="68"/>
      <c r="C247" s="68"/>
      <c r="D247" s="68"/>
      <c r="E247" s="68"/>
      <c r="F247" s="68"/>
      <c r="G247" s="68"/>
    </row>
    <row r="248" spans="1:7" ht="16.5">
      <c r="A248" s="68"/>
      <c r="B248" s="68"/>
      <c r="C248" s="68"/>
      <c r="D248" s="68"/>
      <c r="E248" s="68"/>
      <c r="F248" s="68"/>
      <c r="G248" s="68"/>
    </row>
    <row r="249" spans="1:7" ht="16.5">
      <c r="A249" s="68"/>
      <c r="B249" s="68"/>
      <c r="C249" s="68"/>
      <c r="D249" s="68"/>
      <c r="E249" s="68"/>
      <c r="F249" s="68"/>
      <c r="G249" s="68"/>
    </row>
    <row r="250" spans="1:7" ht="16.5">
      <c r="A250" s="68"/>
      <c r="B250" s="68"/>
      <c r="C250" s="68"/>
      <c r="D250" s="68"/>
      <c r="E250" s="68"/>
      <c r="F250" s="68"/>
      <c r="G250" s="68"/>
    </row>
    <row r="251" spans="1:7" ht="16.5">
      <c r="A251" s="68"/>
      <c r="B251" s="68"/>
      <c r="C251" s="68"/>
      <c r="D251" s="68"/>
      <c r="E251" s="68"/>
      <c r="F251" s="68"/>
      <c r="G251" s="68"/>
    </row>
    <row r="252" spans="1:7" ht="16.5">
      <c r="A252" s="68"/>
      <c r="B252" s="68"/>
      <c r="C252" s="68"/>
      <c r="D252" s="68"/>
      <c r="E252" s="68"/>
      <c r="F252" s="68"/>
      <c r="G252" s="68"/>
    </row>
    <row r="253" spans="1:7" ht="16.5">
      <c r="A253" s="68"/>
      <c r="B253" s="68"/>
      <c r="C253" s="68"/>
      <c r="D253" s="68"/>
      <c r="E253" s="68"/>
      <c r="F253" s="68"/>
      <c r="G253" s="68"/>
    </row>
    <row r="254" spans="1:7" ht="16.5">
      <c r="A254" s="68"/>
      <c r="B254" s="68"/>
      <c r="C254" s="68"/>
      <c r="D254" s="68"/>
      <c r="E254" s="68"/>
      <c r="F254" s="68"/>
      <c r="G254" s="68"/>
    </row>
    <row r="255" spans="1:7" ht="16.5">
      <c r="A255" s="68"/>
      <c r="B255" s="68"/>
      <c r="C255" s="68"/>
      <c r="D255" s="68"/>
      <c r="E255" s="68"/>
      <c r="F255" s="68"/>
      <c r="G255" s="68"/>
    </row>
    <row r="256" spans="1:7" ht="16.5">
      <c r="A256" s="68"/>
      <c r="B256" s="68"/>
      <c r="C256" s="68"/>
      <c r="D256" s="68"/>
      <c r="E256" s="68"/>
      <c r="F256" s="68"/>
      <c r="G256" s="68"/>
    </row>
    <row r="257" spans="1:7" ht="16.5">
      <c r="A257" s="68"/>
      <c r="B257" s="68"/>
      <c r="C257" s="68"/>
      <c r="D257" s="68"/>
      <c r="E257" s="68"/>
      <c r="F257" s="68"/>
      <c r="G257" s="68"/>
    </row>
    <row r="258" spans="1:7" ht="16.5">
      <c r="A258" s="68"/>
      <c r="B258" s="68"/>
      <c r="C258" s="68"/>
      <c r="D258" s="68"/>
      <c r="E258" s="68"/>
      <c r="F258" s="68"/>
      <c r="G258" s="68"/>
    </row>
    <row r="259" spans="1:7" ht="16.5">
      <c r="A259" s="68"/>
      <c r="B259" s="68"/>
      <c r="C259" s="68"/>
      <c r="D259" s="68"/>
      <c r="E259" s="68"/>
      <c r="F259" s="68"/>
      <c r="G259" s="68"/>
    </row>
    <row r="260" spans="1:7" ht="16.5">
      <c r="A260" s="68"/>
      <c r="B260" s="68"/>
      <c r="C260" s="68"/>
      <c r="D260" s="68"/>
      <c r="E260" s="68"/>
      <c r="F260" s="68"/>
      <c r="G260" s="68"/>
    </row>
    <row r="261" spans="1:7" ht="16.5">
      <c r="A261" s="68"/>
      <c r="B261" s="68"/>
      <c r="C261" s="68"/>
      <c r="D261" s="68"/>
      <c r="E261" s="68"/>
      <c r="F261" s="68"/>
      <c r="G261" s="68"/>
    </row>
    <row r="262" spans="1:7" ht="16.5">
      <c r="A262" s="68"/>
      <c r="B262" s="68"/>
      <c r="C262" s="68"/>
      <c r="D262" s="68"/>
      <c r="E262" s="68"/>
      <c r="F262" s="68"/>
      <c r="G262" s="68"/>
    </row>
    <row r="263" spans="1:7" ht="16.5">
      <c r="A263" s="68"/>
      <c r="B263" s="68"/>
      <c r="C263" s="68"/>
      <c r="D263" s="68"/>
      <c r="E263" s="68"/>
      <c r="F263" s="68"/>
      <c r="G263" s="68"/>
    </row>
    <row r="264" spans="1:7" ht="16.5">
      <c r="A264" s="68"/>
      <c r="B264" s="68"/>
      <c r="C264" s="68"/>
      <c r="D264" s="68"/>
      <c r="E264" s="68"/>
      <c r="F264" s="68"/>
      <c r="G264" s="68"/>
    </row>
    <row r="265" spans="1:7" ht="16.5">
      <c r="A265" s="68"/>
      <c r="B265" s="68"/>
      <c r="C265" s="68"/>
      <c r="D265" s="68"/>
      <c r="E265" s="68"/>
      <c r="F265" s="68"/>
      <c r="G265" s="68"/>
    </row>
    <row r="266" spans="1:7" ht="16.5">
      <c r="A266" s="68"/>
      <c r="B266" s="68"/>
      <c r="C266" s="68"/>
      <c r="D266" s="68"/>
      <c r="E266" s="68"/>
      <c r="F266" s="68"/>
      <c r="G266" s="68"/>
    </row>
    <row r="267" spans="1:7" ht="16.5">
      <c r="A267" s="68"/>
      <c r="B267" s="68"/>
      <c r="C267" s="68"/>
      <c r="D267" s="68"/>
      <c r="E267" s="68"/>
      <c r="F267" s="68"/>
      <c r="G267" s="68"/>
    </row>
    <row r="268" spans="1:7" ht="16.5">
      <c r="A268" s="68"/>
      <c r="B268" s="68"/>
      <c r="C268" s="68"/>
      <c r="D268" s="68"/>
      <c r="E268" s="68"/>
      <c r="F268" s="68"/>
      <c r="G268" s="68"/>
    </row>
    <row r="269" spans="1:7" ht="16.5">
      <c r="A269" s="68"/>
      <c r="B269" s="68"/>
      <c r="C269" s="68"/>
      <c r="D269" s="68"/>
      <c r="E269" s="68"/>
      <c r="F269" s="68"/>
      <c r="G269" s="68"/>
    </row>
    <row r="270" spans="1:7" ht="16.5">
      <c r="A270" s="68"/>
      <c r="B270" s="68"/>
      <c r="C270" s="68"/>
      <c r="D270" s="68"/>
      <c r="E270" s="68"/>
      <c r="F270" s="68"/>
      <c r="G270" s="68"/>
    </row>
    <row r="271" spans="1:7" ht="16.5">
      <c r="A271" s="68"/>
      <c r="B271" s="68"/>
      <c r="C271" s="68"/>
      <c r="D271" s="68"/>
      <c r="E271" s="68"/>
      <c r="F271" s="68"/>
      <c r="G271" s="68"/>
    </row>
    <row r="272" spans="1:7" ht="16.5">
      <c r="A272" s="68"/>
      <c r="B272" s="68"/>
      <c r="C272" s="68"/>
      <c r="D272" s="68"/>
      <c r="E272" s="68"/>
      <c r="F272" s="68"/>
      <c r="G272" s="68"/>
    </row>
    <row r="273" spans="1:7" ht="16.5">
      <c r="A273" s="68"/>
      <c r="B273" s="68"/>
      <c r="C273" s="68"/>
      <c r="D273" s="68"/>
      <c r="E273" s="68"/>
      <c r="F273" s="68"/>
      <c r="G273" s="68"/>
    </row>
    <row r="274" spans="1:7" ht="16.5">
      <c r="A274" s="68"/>
      <c r="B274" s="68"/>
      <c r="C274" s="68"/>
      <c r="D274" s="68"/>
      <c r="E274" s="68"/>
      <c r="F274" s="68"/>
      <c r="G274" s="68"/>
    </row>
    <row r="275" spans="1:7" ht="16.5">
      <c r="A275" s="68"/>
      <c r="B275" s="68"/>
      <c r="C275" s="68"/>
      <c r="D275" s="68"/>
      <c r="E275" s="68"/>
      <c r="F275" s="68"/>
      <c r="G275" s="68"/>
    </row>
    <row r="276" spans="1:7" ht="16.5">
      <c r="A276" s="68"/>
      <c r="B276" s="68"/>
      <c r="C276" s="68"/>
      <c r="D276" s="68"/>
      <c r="E276" s="68"/>
      <c r="F276" s="68"/>
      <c r="G276" s="68"/>
    </row>
    <row r="277" spans="1:7" ht="16.5">
      <c r="A277" s="68"/>
      <c r="B277" s="68"/>
      <c r="C277" s="68"/>
      <c r="D277" s="68"/>
      <c r="E277" s="68"/>
      <c r="F277" s="68"/>
      <c r="G277" s="68"/>
    </row>
    <row r="278" spans="1:7" ht="16.5">
      <c r="A278" s="68"/>
      <c r="B278" s="68"/>
      <c r="C278" s="68"/>
      <c r="D278" s="68"/>
      <c r="E278" s="68"/>
      <c r="F278" s="68"/>
      <c r="G278" s="68"/>
    </row>
    <row r="279" spans="1:7" ht="16.5">
      <c r="A279" s="68"/>
      <c r="B279" s="68"/>
      <c r="C279" s="68"/>
      <c r="D279" s="68"/>
      <c r="E279" s="68"/>
      <c r="F279" s="68"/>
      <c r="G279" s="68"/>
    </row>
    <row r="280" spans="1:7" ht="16.5">
      <c r="A280" s="68"/>
      <c r="B280" s="68"/>
      <c r="C280" s="68"/>
      <c r="D280" s="68"/>
      <c r="E280" s="68"/>
      <c r="F280" s="68"/>
      <c r="G280" s="68"/>
    </row>
    <row r="281" spans="1:7" ht="16.5">
      <c r="A281" s="68"/>
      <c r="B281" s="68"/>
      <c r="C281" s="68"/>
      <c r="D281" s="68"/>
      <c r="E281" s="68"/>
      <c r="F281" s="68"/>
      <c r="G281" s="68"/>
    </row>
    <row r="282" spans="1:7" ht="16.5">
      <c r="A282" s="68"/>
      <c r="B282" s="68"/>
      <c r="C282" s="68"/>
      <c r="D282" s="68"/>
      <c r="E282" s="68"/>
      <c r="F282" s="68"/>
      <c r="G282" s="68"/>
    </row>
    <row r="283" spans="1:7" ht="16.5">
      <c r="A283" s="68"/>
      <c r="B283" s="68"/>
      <c r="C283" s="68"/>
      <c r="D283" s="68"/>
      <c r="E283" s="68"/>
      <c r="F283" s="68"/>
      <c r="G283" s="68"/>
    </row>
    <row r="284" spans="1:7" ht="16.5">
      <c r="A284" s="68"/>
      <c r="B284" s="68"/>
      <c r="C284" s="68"/>
      <c r="D284" s="68"/>
      <c r="E284" s="68"/>
      <c r="F284" s="68"/>
      <c r="G284" s="68"/>
    </row>
    <row r="285" spans="1:7" ht="16.5">
      <c r="A285" s="68"/>
      <c r="B285" s="68"/>
      <c r="C285" s="68"/>
      <c r="D285" s="68"/>
      <c r="E285" s="68"/>
      <c r="F285" s="68"/>
      <c r="G285" s="68"/>
    </row>
    <row r="286" spans="1:7" ht="16.5">
      <c r="A286" s="68"/>
      <c r="B286" s="68"/>
      <c r="C286" s="68"/>
      <c r="D286" s="68"/>
      <c r="E286" s="68"/>
      <c r="F286" s="68"/>
      <c r="G286" s="68"/>
    </row>
    <row r="287" spans="1:7" ht="16.5">
      <c r="A287" s="68"/>
      <c r="B287" s="68"/>
      <c r="C287" s="68"/>
      <c r="D287" s="68"/>
      <c r="E287" s="68"/>
      <c r="F287" s="68"/>
      <c r="G287" s="68"/>
    </row>
    <row r="288" spans="1:7" ht="16.5">
      <c r="A288" s="68"/>
      <c r="B288" s="68"/>
      <c r="C288" s="68"/>
      <c r="D288" s="68"/>
      <c r="E288" s="68"/>
      <c r="F288" s="68"/>
      <c r="G288" s="68"/>
    </row>
    <row r="289" spans="1:7" ht="16.5">
      <c r="A289" s="68"/>
      <c r="B289" s="68"/>
      <c r="C289" s="68"/>
      <c r="D289" s="68"/>
      <c r="E289" s="68"/>
      <c r="F289" s="68"/>
      <c r="G289" s="68"/>
    </row>
    <row r="290" spans="1:7" ht="16.5">
      <c r="A290" s="68"/>
      <c r="B290" s="68"/>
      <c r="C290" s="68"/>
      <c r="D290" s="68"/>
      <c r="E290" s="68"/>
      <c r="F290" s="68"/>
      <c r="G290" s="68"/>
    </row>
    <row r="291" spans="1:7" ht="16.5">
      <c r="A291" s="68"/>
      <c r="B291" s="68"/>
      <c r="C291" s="68"/>
      <c r="D291" s="68"/>
      <c r="E291" s="68"/>
      <c r="F291" s="68"/>
      <c r="G291" s="68"/>
    </row>
    <row r="292" spans="1:7" ht="16.5">
      <c r="A292" s="68"/>
      <c r="B292" s="68"/>
      <c r="C292" s="68"/>
      <c r="D292" s="68"/>
      <c r="E292" s="68"/>
      <c r="F292" s="68"/>
      <c r="G292" s="68"/>
    </row>
    <row r="293" spans="1:7" ht="16.5">
      <c r="A293" s="68"/>
      <c r="B293" s="68"/>
      <c r="C293" s="68"/>
      <c r="D293" s="68"/>
      <c r="E293" s="68"/>
      <c r="F293" s="68"/>
      <c r="G293" s="68"/>
    </row>
    <row r="294" spans="1:7" ht="16.5">
      <c r="A294" s="68"/>
      <c r="B294" s="68"/>
      <c r="C294" s="68"/>
      <c r="D294" s="68"/>
      <c r="E294" s="68"/>
      <c r="F294" s="68"/>
      <c r="G294" s="68"/>
    </row>
    <row r="295" spans="1:7" ht="16.5">
      <c r="A295" s="68"/>
      <c r="B295" s="68"/>
      <c r="C295" s="68"/>
      <c r="D295" s="68"/>
      <c r="E295" s="68"/>
      <c r="F295" s="68"/>
      <c r="G295" s="68"/>
    </row>
    <row r="296" spans="1:7" ht="16.5">
      <c r="A296" s="68"/>
      <c r="B296" s="68"/>
      <c r="C296" s="68"/>
      <c r="D296" s="68"/>
      <c r="E296" s="68"/>
      <c r="F296" s="68"/>
      <c r="G296" s="68"/>
    </row>
    <row r="297" spans="1:7" ht="16.5">
      <c r="A297" s="68"/>
      <c r="B297" s="68"/>
      <c r="C297" s="68"/>
      <c r="D297" s="68"/>
      <c r="E297" s="68"/>
      <c r="F297" s="68"/>
      <c r="G297" s="68"/>
    </row>
    <row r="298" spans="1:7" ht="16.5">
      <c r="A298" s="68"/>
      <c r="B298" s="68"/>
      <c r="C298" s="68"/>
      <c r="D298" s="68"/>
      <c r="E298" s="68"/>
      <c r="F298" s="68"/>
      <c r="G298" s="68"/>
    </row>
    <row r="299" spans="1:7" ht="16.5">
      <c r="A299" s="68"/>
      <c r="B299" s="68"/>
      <c r="C299" s="68"/>
      <c r="D299" s="68"/>
      <c r="E299" s="68"/>
      <c r="F299" s="68"/>
      <c r="G299" s="68"/>
    </row>
    <row r="300" spans="1:7" ht="16.5">
      <c r="A300" s="68"/>
      <c r="B300" s="68"/>
      <c r="C300" s="68"/>
      <c r="D300" s="68"/>
      <c r="E300" s="68"/>
      <c r="F300" s="68"/>
      <c r="G300" s="68"/>
    </row>
    <row r="301" spans="1:7" ht="16.5">
      <c r="A301" s="68"/>
      <c r="B301" s="68"/>
      <c r="C301" s="68"/>
      <c r="D301" s="68"/>
      <c r="E301" s="68"/>
      <c r="F301" s="68"/>
      <c r="G301" s="68"/>
    </row>
    <row r="302" spans="1:7" ht="16.5">
      <c r="A302" s="68"/>
      <c r="B302" s="68"/>
      <c r="C302" s="68"/>
      <c r="D302" s="68"/>
      <c r="E302" s="68"/>
      <c r="F302" s="68"/>
      <c r="G302" s="68"/>
    </row>
    <row r="303" spans="1:7" ht="16.5">
      <c r="A303" s="68"/>
      <c r="B303" s="68"/>
      <c r="C303" s="68"/>
      <c r="D303" s="68"/>
      <c r="E303" s="68"/>
      <c r="F303" s="68"/>
      <c r="G303" s="68"/>
    </row>
    <row r="304" spans="1:7" ht="16.5">
      <c r="A304" s="68"/>
      <c r="B304" s="68"/>
      <c r="C304" s="68"/>
      <c r="D304" s="68"/>
      <c r="E304" s="68"/>
      <c r="F304" s="68"/>
      <c r="G304" s="68"/>
    </row>
    <row r="305" spans="1:7" ht="16.5">
      <c r="A305" s="68"/>
      <c r="B305" s="68"/>
      <c r="C305" s="68"/>
      <c r="D305" s="68"/>
      <c r="E305" s="68"/>
      <c r="F305" s="68"/>
      <c r="G305" s="68"/>
    </row>
    <row r="306" spans="1:7" ht="16.5">
      <c r="A306" s="68"/>
      <c r="B306" s="68"/>
      <c r="C306" s="68"/>
      <c r="D306" s="68"/>
      <c r="E306" s="68"/>
      <c r="F306" s="68"/>
      <c r="G306" s="68"/>
    </row>
    <row r="307" spans="1:7" ht="16.5">
      <c r="A307" s="68"/>
      <c r="B307" s="68"/>
      <c r="C307" s="68"/>
      <c r="D307" s="68"/>
      <c r="E307" s="68"/>
      <c r="F307" s="68"/>
      <c r="G307" s="68"/>
    </row>
    <row r="308" spans="1:7" ht="16.5">
      <c r="A308" s="68"/>
      <c r="B308" s="68"/>
      <c r="C308" s="68"/>
      <c r="D308" s="68"/>
      <c r="E308" s="68"/>
      <c r="F308" s="68"/>
      <c r="G308" s="68"/>
    </row>
    <row r="309" spans="1:7" ht="16.5">
      <c r="A309" s="68"/>
      <c r="B309" s="68"/>
      <c r="C309" s="68"/>
      <c r="D309" s="68"/>
      <c r="E309" s="68"/>
      <c r="F309" s="68"/>
      <c r="G309" s="68"/>
    </row>
    <row r="310" spans="1:7" ht="16.5">
      <c r="A310" s="68"/>
      <c r="B310" s="68"/>
      <c r="C310" s="68"/>
      <c r="D310" s="68"/>
      <c r="E310" s="68"/>
      <c r="F310" s="68"/>
      <c r="G310" s="68"/>
    </row>
    <row r="311" spans="1:7" ht="16.5">
      <c r="A311" s="68"/>
      <c r="B311" s="68"/>
      <c r="C311" s="68"/>
      <c r="D311" s="68"/>
      <c r="E311" s="68"/>
      <c r="F311" s="68"/>
      <c r="G311" s="68"/>
    </row>
    <row r="312" spans="1:7" ht="16.5">
      <c r="A312" s="68"/>
      <c r="B312" s="68"/>
      <c r="C312" s="68"/>
      <c r="D312" s="68"/>
      <c r="E312" s="68"/>
      <c r="F312" s="68"/>
      <c r="G312" s="68"/>
    </row>
    <row r="313" spans="1:7" ht="16.5">
      <c r="A313" s="68"/>
      <c r="B313" s="68"/>
      <c r="C313" s="68"/>
      <c r="D313" s="68"/>
      <c r="E313" s="68"/>
      <c r="F313" s="68"/>
      <c r="G313" s="68"/>
    </row>
    <row r="314" spans="1:7" ht="16.5">
      <c r="A314" s="68"/>
      <c r="B314" s="68"/>
      <c r="C314" s="68"/>
      <c r="D314" s="68"/>
      <c r="E314" s="68"/>
      <c r="F314" s="68"/>
      <c r="G314" s="68"/>
    </row>
    <row r="315" spans="1:7" ht="16.5">
      <c r="A315" s="68"/>
      <c r="B315" s="68"/>
      <c r="C315" s="68"/>
      <c r="D315" s="68"/>
      <c r="E315" s="68"/>
      <c r="F315" s="68"/>
      <c r="G315" s="68"/>
    </row>
    <row r="316" spans="1:7" ht="16.5">
      <c r="A316" s="68"/>
      <c r="B316" s="68"/>
      <c r="C316" s="68"/>
      <c r="D316" s="68"/>
      <c r="E316" s="68"/>
      <c r="F316" s="68"/>
      <c r="G316" s="68"/>
    </row>
    <row r="317" spans="1:7" ht="16.5">
      <c r="A317" s="68"/>
      <c r="B317" s="68"/>
      <c r="C317" s="68"/>
      <c r="D317" s="68"/>
      <c r="E317" s="68"/>
      <c r="F317" s="68"/>
      <c r="G317" s="68"/>
    </row>
    <row r="318" spans="1:7" ht="16.5">
      <c r="A318" s="68"/>
      <c r="B318" s="68"/>
      <c r="C318" s="68"/>
      <c r="D318" s="68"/>
      <c r="E318" s="68"/>
      <c r="F318" s="68"/>
      <c r="G318" s="68"/>
    </row>
    <row r="319" spans="1:7" ht="16.5">
      <c r="A319" s="68"/>
      <c r="B319" s="68"/>
      <c r="C319" s="68"/>
      <c r="D319" s="68"/>
      <c r="E319" s="68"/>
      <c r="F319" s="68"/>
      <c r="G319" s="68"/>
    </row>
    <row r="320" spans="1:7" ht="16.5">
      <c r="A320" s="68"/>
      <c r="B320" s="68"/>
      <c r="C320" s="68"/>
      <c r="D320" s="68"/>
      <c r="E320" s="68"/>
      <c r="F320" s="68"/>
      <c r="G320" s="68"/>
    </row>
    <row r="321" spans="1:7" ht="16.5">
      <c r="A321" s="68"/>
      <c r="B321" s="68"/>
      <c r="C321" s="68"/>
      <c r="D321" s="68"/>
      <c r="E321" s="68"/>
      <c r="F321" s="68"/>
      <c r="G321" s="68"/>
    </row>
    <row r="322" spans="1:7" ht="16.5">
      <c r="A322" s="68"/>
      <c r="B322" s="68"/>
      <c r="C322" s="68"/>
      <c r="D322" s="68"/>
      <c r="E322" s="68"/>
      <c r="F322" s="68"/>
      <c r="G322" s="68"/>
    </row>
    <row r="323" spans="1:7" ht="16.5">
      <c r="A323" s="68"/>
      <c r="B323" s="68"/>
      <c r="C323" s="68"/>
      <c r="D323" s="68"/>
      <c r="E323" s="68"/>
      <c r="F323" s="68"/>
      <c r="G323" s="68"/>
    </row>
    <row r="324" spans="1:7" ht="16.5">
      <c r="A324" s="68"/>
      <c r="B324" s="68"/>
      <c r="C324" s="68"/>
      <c r="D324" s="68"/>
      <c r="E324" s="68"/>
      <c r="F324" s="68"/>
      <c r="G324" s="68"/>
    </row>
    <row r="325" spans="1:7" ht="16.5">
      <c r="A325" s="68"/>
      <c r="B325" s="68"/>
      <c r="C325" s="68"/>
      <c r="D325" s="68"/>
      <c r="E325" s="68"/>
      <c r="F325" s="68"/>
      <c r="G325" s="68"/>
    </row>
    <row r="326" spans="1:7" ht="16.5">
      <c r="A326" s="68"/>
      <c r="B326" s="68"/>
      <c r="C326" s="68"/>
      <c r="D326" s="68"/>
      <c r="E326" s="68"/>
      <c r="F326" s="68"/>
      <c r="G326" s="68"/>
    </row>
    <row r="327" spans="1:7" ht="16.5">
      <c r="A327" s="68"/>
      <c r="B327" s="68"/>
      <c r="C327" s="68"/>
      <c r="D327" s="68"/>
      <c r="E327" s="68"/>
      <c r="F327" s="68"/>
      <c r="G327" s="68"/>
    </row>
    <row r="328" spans="1:7" ht="16.5">
      <c r="A328" s="68"/>
      <c r="B328" s="68"/>
      <c r="C328" s="68"/>
      <c r="D328" s="68"/>
      <c r="E328" s="68"/>
      <c r="F328" s="68"/>
      <c r="G328" s="68"/>
    </row>
    <row r="329" spans="1:7" ht="16.5">
      <c r="A329" s="68"/>
      <c r="B329" s="68"/>
      <c r="C329" s="68"/>
      <c r="D329" s="68"/>
      <c r="E329" s="68"/>
      <c r="F329" s="68"/>
      <c r="G329" s="68"/>
    </row>
    <row r="330" spans="1:7" ht="16.5">
      <c r="A330" s="68"/>
      <c r="B330" s="68"/>
      <c r="C330" s="68"/>
      <c r="D330" s="68"/>
      <c r="E330" s="68"/>
      <c r="F330" s="68"/>
      <c r="G330" s="68"/>
    </row>
    <row r="331" spans="1:7" ht="16.5">
      <c r="A331" s="68"/>
      <c r="B331" s="68"/>
      <c r="C331" s="68"/>
      <c r="D331" s="68"/>
      <c r="E331" s="68"/>
      <c r="F331" s="68"/>
      <c r="G331" s="68"/>
    </row>
    <row r="332" spans="1:7" ht="16.5">
      <c r="A332" s="68"/>
      <c r="B332" s="68"/>
      <c r="C332" s="68"/>
      <c r="D332" s="68"/>
      <c r="E332" s="68"/>
      <c r="F332" s="68"/>
      <c r="G332" s="68"/>
    </row>
    <row r="333" spans="1:7" ht="16.5">
      <c r="A333" s="68"/>
      <c r="B333" s="68"/>
      <c r="C333" s="68"/>
      <c r="D333" s="68"/>
      <c r="E333" s="68"/>
      <c r="F333" s="68"/>
      <c r="G333" s="68"/>
    </row>
    <row r="334" spans="1:7" ht="16.5">
      <c r="A334" s="68"/>
      <c r="B334" s="68"/>
      <c r="C334" s="68"/>
      <c r="D334" s="68"/>
      <c r="E334" s="68"/>
      <c r="F334" s="68"/>
      <c r="G334" s="68"/>
    </row>
    <row r="335" spans="1:7" ht="16.5">
      <c r="A335" s="68"/>
      <c r="B335" s="68"/>
      <c r="C335" s="68"/>
      <c r="D335" s="68"/>
      <c r="E335" s="68"/>
      <c r="F335" s="68"/>
      <c r="G335" s="68"/>
    </row>
    <row r="336" spans="1:7" ht="16.5">
      <c r="A336" s="68"/>
      <c r="B336" s="68"/>
      <c r="C336" s="68"/>
      <c r="D336" s="68"/>
      <c r="E336" s="68"/>
      <c r="F336" s="68"/>
      <c r="G336" s="68"/>
    </row>
    <row r="337" spans="1:7" ht="16.5">
      <c r="A337" s="68"/>
      <c r="B337" s="68"/>
      <c r="C337" s="68"/>
      <c r="D337" s="68"/>
      <c r="E337" s="68"/>
      <c r="F337" s="68"/>
      <c r="G337" s="68"/>
    </row>
    <row r="338" spans="1:7" ht="16.5">
      <c r="A338" s="68"/>
      <c r="B338" s="68"/>
      <c r="C338" s="68"/>
      <c r="D338" s="68"/>
      <c r="E338" s="68"/>
      <c r="F338" s="68"/>
      <c r="G338" s="68"/>
    </row>
    <row r="339" spans="1:7" ht="16.5">
      <c r="A339" s="68"/>
      <c r="B339" s="68"/>
      <c r="C339" s="68"/>
      <c r="D339" s="68"/>
      <c r="E339" s="68"/>
      <c r="F339" s="68"/>
      <c r="G339" s="68"/>
    </row>
    <row r="340" spans="1:7" ht="16.5">
      <c r="A340" s="68"/>
      <c r="B340" s="68"/>
      <c r="C340" s="68"/>
      <c r="D340" s="68"/>
      <c r="E340" s="68"/>
      <c r="F340" s="68"/>
      <c r="G340" s="68"/>
    </row>
    <row r="341" spans="1:7" ht="16.5">
      <c r="A341" s="68"/>
      <c r="B341" s="68"/>
      <c r="C341" s="68"/>
      <c r="D341" s="68"/>
      <c r="E341" s="68"/>
      <c r="F341" s="68"/>
      <c r="G341" s="68"/>
    </row>
    <row r="342" spans="1:7" ht="16.5">
      <c r="A342" s="68"/>
      <c r="B342" s="68"/>
      <c r="C342" s="68"/>
      <c r="D342" s="68"/>
      <c r="E342" s="68"/>
      <c r="F342" s="68"/>
      <c r="G342" s="68"/>
    </row>
    <row r="343" spans="1:7" ht="16.5">
      <c r="A343" s="68"/>
      <c r="B343" s="68"/>
      <c r="C343" s="68"/>
      <c r="D343" s="68"/>
      <c r="E343" s="68"/>
      <c r="F343" s="68"/>
      <c r="G343" s="68"/>
    </row>
    <row r="344" spans="1:7" ht="16.5">
      <c r="A344" s="68"/>
      <c r="B344" s="68"/>
      <c r="C344" s="68"/>
      <c r="D344" s="68"/>
      <c r="E344" s="68"/>
      <c r="F344" s="68"/>
      <c r="G344" s="68"/>
    </row>
    <row r="345" spans="1:7" ht="16.5">
      <c r="A345" s="68"/>
      <c r="B345" s="68"/>
      <c r="C345" s="68"/>
      <c r="D345" s="68"/>
      <c r="E345" s="68"/>
      <c r="F345" s="68"/>
      <c r="G345" s="68"/>
    </row>
    <row r="346" spans="1:7" ht="16.5">
      <c r="A346" s="68"/>
      <c r="B346" s="68"/>
      <c r="C346" s="68"/>
      <c r="D346" s="68"/>
      <c r="E346" s="68"/>
      <c r="F346" s="68"/>
      <c r="G346" s="68"/>
    </row>
    <row r="347" spans="1:7" ht="16.5">
      <c r="A347" s="68"/>
      <c r="B347" s="68"/>
      <c r="C347" s="68"/>
      <c r="D347" s="68"/>
      <c r="E347" s="68"/>
      <c r="F347" s="68"/>
      <c r="G347" s="68"/>
    </row>
    <row r="348" spans="1:7" ht="16.5">
      <c r="A348" s="68"/>
      <c r="B348" s="68"/>
      <c r="C348" s="68"/>
      <c r="D348" s="68"/>
      <c r="E348" s="68"/>
      <c r="F348" s="68"/>
      <c r="G348" s="68"/>
    </row>
    <row r="349" spans="1:7" ht="16.5">
      <c r="A349" s="68"/>
      <c r="B349" s="68"/>
      <c r="C349" s="68"/>
      <c r="D349" s="68"/>
      <c r="E349" s="68"/>
      <c r="F349" s="68"/>
      <c r="G349" s="68"/>
    </row>
    <row r="350" spans="1:7" ht="16.5">
      <c r="A350" s="68"/>
      <c r="B350" s="68"/>
      <c r="C350" s="68"/>
      <c r="D350" s="68"/>
      <c r="E350" s="68"/>
      <c r="F350" s="68"/>
      <c r="G350" s="68"/>
    </row>
    <row r="351" spans="1:7" ht="16.5">
      <c r="A351" s="68"/>
      <c r="B351" s="68"/>
      <c r="C351" s="68"/>
      <c r="D351" s="68"/>
      <c r="E351" s="68"/>
      <c r="F351" s="68"/>
      <c r="G351" s="68"/>
    </row>
    <row r="352" spans="1:7" ht="16.5">
      <c r="A352" s="68"/>
      <c r="B352" s="68"/>
      <c r="C352" s="68"/>
      <c r="D352" s="68"/>
      <c r="E352" s="68"/>
      <c r="F352" s="68"/>
      <c r="G352" s="68"/>
    </row>
    <row r="353" spans="1:7" ht="16.5">
      <c r="A353" s="68"/>
      <c r="B353" s="68"/>
      <c r="C353" s="68"/>
      <c r="D353" s="68"/>
      <c r="E353" s="68"/>
      <c r="F353" s="68"/>
      <c r="G353" s="68"/>
    </row>
    <row r="354" spans="1:7" ht="16.5">
      <c r="A354" s="68"/>
      <c r="B354" s="68"/>
      <c r="C354" s="68"/>
      <c r="D354" s="68"/>
      <c r="E354" s="68"/>
      <c r="F354" s="68"/>
      <c r="G354" s="68"/>
    </row>
    <row r="355" spans="1:7" ht="16.5">
      <c r="A355" s="68"/>
      <c r="B355" s="68"/>
      <c r="C355" s="68"/>
      <c r="D355" s="68"/>
      <c r="E355" s="68"/>
      <c r="F355" s="68"/>
      <c r="G355" s="68"/>
    </row>
    <row r="356" spans="1:7" ht="16.5">
      <c r="A356" s="68"/>
      <c r="B356" s="68"/>
      <c r="C356" s="68"/>
      <c r="D356" s="68"/>
      <c r="E356" s="68"/>
      <c r="F356" s="68"/>
      <c r="G356" s="68"/>
    </row>
    <row r="357" spans="1:7" ht="16.5">
      <c r="A357" s="68"/>
      <c r="B357" s="68"/>
      <c r="C357" s="68"/>
      <c r="D357" s="68"/>
      <c r="E357" s="68"/>
      <c r="F357" s="68"/>
      <c r="G357" s="68"/>
    </row>
    <row r="358" spans="1:7" ht="16.5">
      <c r="A358" s="68"/>
      <c r="B358" s="68"/>
      <c r="C358" s="68"/>
      <c r="D358" s="68"/>
      <c r="E358" s="68"/>
      <c r="F358" s="68"/>
      <c r="G358" s="68"/>
    </row>
    <row r="359" spans="1:7" ht="16.5">
      <c r="A359" s="68"/>
      <c r="B359" s="68"/>
      <c r="C359" s="68"/>
      <c r="D359" s="68"/>
      <c r="E359" s="68"/>
      <c r="F359" s="68"/>
      <c r="G359" s="68"/>
    </row>
    <row r="360" spans="1:7" ht="16.5">
      <c r="A360" s="68"/>
      <c r="B360" s="68"/>
      <c r="C360" s="68"/>
      <c r="D360" s="68"/>
      <c r="E360" s="68"/>
      <c r="F360" s="68"/>
      <c r="G360" s="68"/>
    </row>
    <row r="361" spans="1:7" ht="16.5">
      <c r="A361" s="68"/>
      <c r="B361" s="68"/>
      <c r="C361" s="68"/>
      <c r="D361" s="68"/>
      <c r="E361" s="68"/>
      <c r="F361" s="68"/>
      <c r="G361" s="68"/>
    </row>
    <row r="362" spans="1:7" ht="16.5">
      <c r="A362" s="68"/>
      <c r="B362" s="68"/>
      <c r="C362" s="68"/>
      <c r="D362" s="68"/>
      <c r="E362" s="68"/>
      <c r="F362" s="68"/>
      <c r="G362" s="68"/>
    </row>
    <row r="363" spans="1:7" ht="16.5">
      <c r="A363" s="68"/>
      <c r="B363" s="68"/>
      <c r="C363" s="68"/>
      <c r="D363" s="68"/>
      <c r="E363" s="68"/>
      <c r="F363" s="68"/>
      <c r="G363" s="68"/>
    </row>
    <row r="364" spans="1:7" ht="16.5">
      <c r="A364" s="68"/>
      <c r="B364" s="68"/>
      <c r="C364" s="68"/>
      <c r="D364" s="68"/>
      <c r="E364" s="68"/>
      <c r="F364" s="68"/>
      <c r="G364" s="68"/>
    </row>
    <row r="365" spans="1:7" ht="16.5">
      <c r="A365" s="68"/>
      <c r="B365" s="68"/>
      <c r="C365" s="68"/>
      <c r="D365" s="68"/>
      <c r="E365" s="68"/>
      <c r="F365" s="68"/>
      <c r="G365" s="68"/>
    </row>
    <row r="366" spans="1:7" ht="16.5">
      <c r="A366" s="68"/>
      <c r="B366" s="68"/>
      <c r="C366" s="68"/>
      <c r="D366" s="68"/>
      <c r="E366" s="68"/>
      <c r="F366" s="68"/>
      <c r="G366" s="68"/>
    </row>
    <row r="367" spans="1:7" ht="16.5">
      <c r="A367" s="68"/>
      <c r="B367" s="68"/>
      <c r="C367" s="68"/>
      <c r="D367" s="68"/>
      <c r="E367" s="68"/>
      <c r="F367" s="68"/>
      <c r="G367" s="68"/>
    </row>
    <row r="368" spans="1:7" ht="16.5">
      <c r="A368" s="68"/>
      <c r="B368" s="68"/>
      <c r="C368" s="68"/>
      <c r="D368" s="68"/>
      <c r="E368" s="68"/>
      <c r="F368" s="68"/>
      <c r="G368" s="68"/>
    </row>
    <row r="369" spans="1:7" ht="16.5">
      <c r="A369" s="68"/>
      <c r="B369" s="68"/>
      <c r="C369" s="68"/>
      <c r="D369" s="68"/>
      <c r="E369" s="68"/>
      <c r="F369" s="68"/>
      <c r="G369" s="68"/>
    </row>
    <row r="370" spans="1:7" ht="16.5">
      <c r="A370" s="68"/>
      <c r="B370" s="68"/>
      <c r="C370" s="68"/>
      <c r="D370" s="68"/>
      <c r="E370" s="68"/>
      <c r="F370" s="68"/>
      <c r="G370" s="68"/>
    </row>
    <row r="371" spans="1:7" ht="16.5">
      <c r="A371" s="68"/>
      <c r="B371" s="68"/>
      <c r="C371" s="68"/>
      <c r="D371" s="68"/>
      <c r="E371" s="68"/>
      <c r="F371" s="68"/>
      <c r="G371" s="68"/>
    </row>
    <row r="372" spans="1:7" ht="16.5">
      <c r="A372" s="68"/>
      <c r="B372" s="68"/>
      <c r="C372" s="68"/>
      <c r="D372" s="68"/>
      <c r="E372" s="68"/>
      <c r="F372" s="68"/>
      <c r="G372" s="68"/>
    </row>
    <row r="373" spans="1:7" ht="16.5">
      <c r="A373" s="68"/>
      <c r="B373" s="68"/>
      <c r="C373" s="68"/>
      <c r="D373" s="68"/>
      <c r="E373" s="68"/>
      <c r="F373" s="68"/>
      <c r="G373" s="68"/>
    </row>
    <row r="374" spans="1:7" ht="16.5">
      <c r="A374" s="68"/>
      <c r="B374" s="68"/>
      <c r="C374" s="68"/>
      <c r="D374" s="68"/>
      <c r="E374" s="68"/>
      <c r="F374" s="68"/>
      <c r="G374" s="68"/>
    </row>
    <row r="375" spans="1:7" ht="16.5">
      <c r="A375" s="68"/>
      <c r="B375" s="68"/>
      <c r="C375" s="68"/>
      <c r="D375" s="68"/>
      <c r="E375" s="68"/>
      <c r="F375" s="68"/>
      <c r="G375" s="68"/>
    </row>
    <row r="376" spans="1:7" ht="16.5">
      <c r="A376" s="68"/>
      <c r="B376" s="68"/>
      <c r="C376" s="68"/>
      <c r="D376" s="68"/>
      <c r="E376" s="68"/>
      <c r="F376" s="68"/>
      <c r="G376" s="68"/>
    </row>
    <row r="377" spans="1:7" ht="16.5">
      <c r="A377" s="68"/>
      <c r="B377" s="68"/>
      <c r="C377" s="68"/>
      <c r="D377" s="68"/>
      <c r="E377" s="68"/>
      <c r="F377" s="68"/>
      <c r="G377" s="68"/>
    </row>
    <row r="378" spans="1:7" ht="16.5">
      <c r="A378" s="68"/>
      <c r="B378" s="68"/>
      <c r="C378" s="68"/>
      <c r="D378" s="68"/>
      <c r="E378" s="68"/>
      <c r="F378" s="68"/>
      <c r="G378" s="68"/>
    </row>
    <row r="379" spans="1:7" ht="16.5">
      <c r="A379" s="68"/>
      <c r="B379" s="68"/>
      <c r="C379" s="68"/>
      <c r="D379" s="68"/>
      <c r="E379" s="68"/>
      <c r="F379" s="68"/>
      <c r="G379" s="68"/>
    </row>
    <row r="380" spans="1:7" ht="16.5">
      <c r="A380" s="68"/>
      <c r="B380" s="68"/>
      <c r="C380" s="68"/>
      <c r="D380" s="68"/>
      <c r="E380" s="68"/>
      <c r="F380" s="68"/>
      <c r="G380" s="68"/>
    </row>
    <row r="381" spans="1:7" ht="16.5">
      <c r="A381" s="68"/>
      <c r="B381" s="68"/>
      <c r="C381" s="68"/>
      <c r="D381" s="68"/>
      <c r="E381" s="68"/>
      <c r="F381" s="68"/>
      <c r="G381" s="68"/>
    </row>
    <row r="382" spans="1:7" ht="16.5">
      <c r="A382" s="68"/>
      <c r="B382" s="68"/>
      <c r="C382" s="68"/>
      <c r="D382" s="68"/>
      <c r="E382" s="68"/>
      <c r="F382" s="68"/>
      <c r="G382" s="68"/>
    </row>
    <row r="383" spans="1:7" ht="16.5">
      <c r="A383" s="68"/>
      <c r="B383" s="68"/>
      <c r="C383" s="68"/>
      <c r="D383" s="68"/>
      <c r="E383" s="68"/>
      <c r="F383" s="68"/>
      <c r="G383" s="68"/>
    </row>
    <row r="384" spans="1:7" ht="16.5">
      <c r="A384" s="68"/>
      <c r="B384" s="68"/>
      <c r="C384" s="68"/>
      <c r="D384" s="68"/>
      <c r="E384" s="68"/>
      <c r="F384" s="68"/>
      <c r="G384" s="68"/>
    </row>
    <row r="385" spans="1:7" ht="16.5">
      <c r="A385" s="68"/>
      <c r="B385" s="68"/>
      <c r="C385" s="68"/>
      <c r="D385" s="68"/>
      <c r="E385" s="68"/>
      <c r="F385" s="68"/>
      <c r="G385" s="68"/>
    </row>
    <row r="386" spans="1:7" ht="16.5">
      <c r="A386" s="68"/>
      <c r="B386" s="68"/>
      <c r="C386" s="68"/>
      <c r="D386" s="68"/>
      <c r="E386" s="68"/>
      <c r="F386" s="68"/>
      <c r="G386" s="68"/>
    </row>
    <row r="387" spans="1:7" ht="16.5">
      <c r="A387" s="68"/>
      <c r="B387" s="68"/>
      <c r="C387" s="68"/>
      <c r="D387" s="68"/>
      <c r="E387" s="68"/>
      <c r="F387" s="68"/>
      <c r="G387" s="68"/>
    </row>
    <row r="388" spans="1:7" ht="16.5">
      <c r="A388" s="68"/>
      <c r="B388" s="68"/>
      <c r="C388" s="68"/>
      <c r="D388" s="68"/>
      <c r="E388" s="68"/>
      <c r="F388" s="68"/>
      <c r="G388" s="68"/>
    </row>
    <row r="389" spans="1:7" ht="16.5">
      <c r="A389" s="68"/>
      <c r="B389" s="68"/>
      <c r="C389" s="68"/>
      <c r="D389" s="68"/>
      <c r="E389" s="68"/>
      <c r="F389" s="68"/>
      <c r="G389" s="68"/>
    </row>
    <row r="390" spans="1:7" ht="16.5">
      <c r="A390" s="68"/>
      <c r="B390" s="68"/>
      <c r="C390" s="68"/>
      <c r="D390" s="68"/>
      <c r="E390" s="68"/>
      <c r="F390" s="68"/>
      <c r="G390" s="68"/>
    </row>
    <row r="391" spans="1:7" ht="16.5">
      <c r="A391" s="68"/>
      <c r="B391" s="68"/>
      <c r="C391" s="68"/>
      <c r="D391" s="68"/>
      <c r="E391" s="68"/>
      <c r="F391" s="68"/>
      <c r="G391" s="68"/>
    </row>
    <row r="392" spans="1:7" ht="16.5">
      <c r="A392" s="68"/>
      <c r="B392" s="68"/>
      <c r="C392" s="68"/>
      <c r="D392" s="68"/>
      <c r="E392" s="68"/>
      <c r="F392" s="68"/>
      <c r="G392" s="68"/>
    </row>
    <row r="393" spans="1:7" ht="16.5">
      <c r="A393" s="68"/>
      <c r="B393" s="68"/>
      <c r="C393" s="68"/>
      <c r="D393" s="68"/>
      <c r="E393" s="68"/>
      <c r="F393" s="68"/>
      <c r="G393" s="68"/>
    </row>
    <row r="394" spans="1:7" ht="16.5">
      <c r="A394" s="68"/>
      <c r="B394" s="68"/>
      <c r="C394" s="68"/>
      <c r="D394" s="68"/>
      <c r="E394" s="68"/>
      <c r="F394" s="68"/>
      <c r="G394" s="68"/>
    </row>
    <row r="395" spans="1:7" ht="16.5">
      <c r="A395" s="68"/>
      <c r="B395" s="68"/>
      <c r="C395" s="68"/>
      <c r="D395" s="68"/>
      <c r="E395" s="68"/>
      <c r="F395" s="68"/>
      <c r="G395" s="68"/>
    </row>
    <row r="396" spans="1:7" ht="16.5">
      <c r="A396" s="68"/>
      <c r="B396" s="68"/>
      <c r="C396" s="68"/>
      <c r="D396" s="68"/>
      <c r="E396" s="68"/>
      <c r="F396" s="68"/>
      <c r="G396" s="68"/>
    </row>
    <row r="397" spans="1:7" ht="16.5">
      <c r="A397" s="68"/>
      <c r="B397" s="68"/>
      <c r="C397" s="68"/>
      <c r="D397" s="68"/>
      <c r="E397" s="68"/>
      <c r="F397" s="68"/>
      <c r="G397" s="68"/>
    </row>
    <row r="398" spans="1:7" ht="16.5">
      <c r="A398" s="68"/>
      <c r="B398" s="68"/>
      <c r="C398" s="68"/>
      <c r="D398" s="68"/>
      <c r="E398" s="68"/>
      <c r="F398" s="68"/>
      <c r="G398" s="68"/>
    </row>
    <row r="399" spans="1:7" ht="16.5">
      <c r="A399" s="68"/>
      <c r="B399" s="68"/>
      <c r="C399" s="68"/>
      <c r="D399" s="68"/>
      <c r="E399" s="68"/>
      <c r="F399" s="68"/>
      <c r="G399" s="68"/>
    </row>
    <row r="400" spans="1:7" ht="16.5">
      <c r="A400" s="68"/>
      <c r="B400" s="68"/>
      <c r="C400" s="68"/>
      <c r="D400" s="68"/>
      <c r="E400" s="68"/>
      <c r="F400" s="68"/>
      <c r="G400" s="68"/>
    </row>
    <row r="401" spans="1:7" ht="16.5">
      <c r="A401" s="68"/>
      <c r="B401" s="68"/>
      <c r="C401" s="68"/>
      <c r="D401" s="68"/>
      <c r="E401" s="68"/>
      <c r="F401" s="68"/>
      <c r="G401" s="68"/>
    </row>
    <row r="402" spans="1:7" ht="16.5">
      <c r="A402" s="68"/>
      <c r="B402" s="68"/>
      <c r="C402" s="68"/>
      <c r="D402" s="68"/>
      <c r="E402" s="68"/>
      <c r="F402" s="68"/>
      <c r="G402" s="68"/>
    </row>
    <row r="403" spans="1:7" ht="16.5">
      <c r="A403" s="68"/>
      <c r="B403" s="68"/>
      <c r="C403" s="68"/>
      <c r="D403" s="68"/>
      <c r="E403" s="68"/>
      <c r="F403" s="68"/>
      <c r="G403" s="68"/>
    </row>
    <row r="404" spans="1:7" ht="16.5">
      <c r="A404" s="68"/>
      <c r="B404" s="68"/>
      <c r="C404" s="68"/>
      <c r="D404" s="68"/>
      <c r="E404" s="68"/>
      <c r="F404" s="68"/>
      <c r="G404" s="68"/>
    </row>
    <row r="405" spans="1:7" ht="16.5">
      <c r="A405" s="68"/>
      <c r="B405" s="68"/>
      <c r="C405" s="68"/>
      <c r="D405" s="68"/>
      <c r="E405" s="68"/>
      <c r="F405" s="68"/>
      <c r="G405" s="68"/>
    </row>
    <row r="406" spans="1:7" ht="16.5">
      <c r="A406" s="68"/>
      <c r="B406" s="68"/>
      <c r="C406" s="68"/>
      <c r="D406" s="68"/>
      <c r="E406" s="68"/>
      <c r="F406" s="68"/>
      <c r="G406" s="68"/>
    </row>
    <row r="407" spans="1:7" ht="16.5">
      <c r="A407" s="68"/>
      <c r="B407" s="68"/>
      <c r="C407" s="68"/>
      <c r="D407" s="68"/>
      <c r="E407" s="68"/>
      <c r="F407" s="68"/>
      <c r="G407" s="68"/>
    </row>
    <row r="408" spans="1:7" ht="16.5">
      <c r="A408" s="68"/>
      <c r="B408" s="68"/>
      <c r="C408" s="68"/>
      <c r="D408" s="68"/>
      <c r="E408" s="68"/>
      <c r="F408" s="68"/>
      <c r="G408" s="68"/>
    </row>
    <row r="409" spans="1:7" ht="16.5">
      <c r="A409" s="68"/>
      <c r="B409" s="68"/>
      <c r="C409" s="68"/>
      <c r="D409" s="68"/>
      <c r="E409" s="68"/>
      <c r="F409" s="68"/>
      <c r="G409" s="68"/>
    </row>
    <row r="410" spans="1:7" ht="16.5">
      <c r="A410" s="68"/>
      <c r="B410" s="68"/>
      <c r="C410" s="68"/>
      <c r="D410" s="68"/>
      <c r="E410" s="68"/>
      <c r="F410" s="68"/>
      <c r="G410" s="68"/>
    </row>
    <row r="411" spans="1:7" ht="16.5">
      <c r="A411" s="68"/>
      <c r="B411" s="68"/>
      <c r="C411" s="68"/>
      <c r="D411" s="68"/>
      <c r="E411" s="68"/>
      <c r="F411" s="68"/>
      <c r="G411" s="68"/>
    </row>
    <row r="412" spans="1:7" ht="16.5">
      <c r="A412" s="68"/>
      <c r="B412" s="68"/>
      <c r="C412" s="68"/>
      <c r="D412" s="68"/>
      <c r="E412" s="68"/>
      <c r="F412" s="68"/>
      <c r="G412" s="68"/>
    </row>
    <row r="413" spans="1:7" ht="16.5">
      <c r="A413" s="68"/>
      <c r="B413" s="68"/>
      <c r="C413" s="68"/>
      <c r="D413" s="68"/>
      <c r="E413" s="68"/>
      <c r="F413" s="68"/>
      <c r="G413" s="68"/>
    </row>
    <row r="414" spans="1:7" ht="16.5">
      <c r="A414" s="68"/>
      <c r="B414" s="68"/>
      <c r="C414" s="68"/>
      <c r="D414" s="68"/>
      <c r="E414" s="68"/>
      <c r="F414" s="68"/>
      <c r="G414" s="68"/>
    </row>
    <row r="415" spans="1:7" ht="16.5">
      <c r="A415" s="68"/>
      <c r="B415" s="68"/>
      <c r="C415" s="68"/>
      <c r="D415" s="68"/>
      <c r="E415" s="68"/>
      <c r="F415" s="68"/>
      <c r="G415" s="68"/>
    </row>
    <row r="416" spans="1:7" ht="16.5">
      <c r="A416" s="68"/>
      <c r="B416" s="68"/>
      <c r="C416" s="68"/>
      <c r="D416" s="68"/>
      <c r="E416" s="68"/>
      <c r="F416" s="68"/>
      <c r="G416" s="68"/>
    </row>
    <row r="417" spans="1:7" ht="16.5">
      <c r="A417" s="68"/>
      <c r="B417" s="68"/>
      <c r="C417" s="68"/>
      <c r="D417" s="68"/>
      <c r="E417" s="68"/>
      <c r="F417" s="68"/>
      <c r="G417" s="68"/>
    </row>
    <row r="418" spans="1:7" ht="16.5">
      <c r="A418" s="68"/>
      <c r="B418" s="68"/>
      <c r="C418" s="68"/>
      <c r="D418" s="68"/>
      <c r="E418" s="68"/>
      <c r="F418" s="68"/>
      <c r="G418" s="68"/>
    </row>
    <row r="419" spans="1:7" ht="16.5">
      <c r="A419" s="68"/>
      <c r="B419" s="68"/>
      <c r="C419" s="68"/>
      <c r="D419" s="68"/>
      <c r="E419" s="68"/>
      <c r="F419" s="68"/>
      <c r="G419" s="68"/>
    </row>
    <row r="420" spans="1:7" ht="16.5">
      <c r="A420" s="68"/>
      <c r="B420" s="68"/>
      <c r="C420" s="68"/>
      <c r="D420" s="68"/>
      <c r="E420" s="68"/>
      <c r="F420" s="68"/>
      <c r="G420" s="68"/>
    </row>
    <row r="421" spans="1:7" ht="16.5">
      <c r="A421" s="68"/>
      <c r="B421" s="68"/>
      <c r="C421" s="68"/>
      <c r="D421" s="68"/>
      <c r="E421" s="68"/>
      <c r="F421" s="68"/>
      <c r="G421" s="68"/>
    </row>
    <row r="422" spans="1:7" ht="16.5">
      <c r="A422" s="68"/>
      <c r="B422" s="68"/>
      <c r="C422" s="68"/>
      <c r="D422" s="68"/>
      <c r="E422" s="68"/>
      <c r="F422" s="68"/>
      <c r="G422" s="68"/>
    </row>
    <row r="423" spans="1:7" ht="16.5">
      <c r="A423" s="68"/>
      <c r="B423" s="68"/>
      <c r="C423" s="68"/>
      <c r="D423" s="68"/>
      <c r="E423" s="68"/>
      <c r="F423" s="68"/>
      <c r="G423" s="68"/>
    </row>
    <row r="424" spans="1:7" ht="16.5">
      <c r="A424" s="68"/>
      <c r="B424" s="68"/>
      <c r="C424" s="68"/>
      <c r="D424" s="68"/>
      <c r="E424" s="68"/>
      <c r="F424" s="68"/>
      <c r="G424" s="68"/>
    </row>
    <row r="425" spans="1:7" ht="16.5">
      <c r="A425" s="68"/>
      <c r="B425" s="68"/>
      <c r="C425" s="68"/>
      <c r="D425" s="68"/>
      <c r="E425" s="68"/>
      <c r="F425" s="68"/>
      <c r="G425" s="68"/>
    </row>
    <row r="426" spans="1:7" ht="16.5">
      <c r="A426" s="68"/>
      <c r="B426" s="68"/>
      <c r="C426" s="68"/>
      <c r="D426" s="68"/>
      <c r="E426" s="68"/>
      <c r="F426" s="68"/>
      <c r="G426" s="68"/>
    </row>
    <row r="427" spans="1:7" ht="16.5">
      <c r="A427" s="68"/>
      <c r="B427" s="68"/>
      <c r="C427" s="68"/>
      <c r="D427" s="68"/>
      <c r="E427" s="68"/>
      <c r="F427" s="68"/>
      <c r="G427" s="68"/>
    </row>
    <row r="428" spans="1:7" ht="16.5">
      <c r="A428" s="68"/>
      <c r="B428" s="68"/>
      <c r="C428" s="68"/>
      <c r="D428" s="68"/>
      <c r="E428" s="68"/>
      <c r="F428" s="68"/>
      <c r="G428" s="68"/>
    </row>
    <row r="429" spans="1:7" ht="16.5">
      <c r="A429" s="68"/>
      <c r="B429" s="68"/>
      <c r="C429" s="68"/>
      <c r="D429" s="68"/>
      <c r="E429" s="68"/>
      <c r="F429" s="68"/>
      <c r="G429" s="68"/>
    </row>
    <row r="430" spans="1:7" ht="16.5">
      <c r="A430" s="68"/>
      <c r="B430" s="68"/>
      <c r="C430" s="68"/>
      <c r="D430" s="68"/>
      <c r="E430" s="68"/>
      <c r="F430" s="68"/>
      <c r="G430" s="68"/>
    </row>
    <row r="431" spans="1:7" ht="16.5">
      <c r="A431" s="68"/>
      <c r="B431" s="68"/>
      <c r="C431" s="68"/>
      <c r="D431" s="68"/>
      <c r="E431" s="68"/>
      <c r="F431" s="68"/>
      <c r="G431" s="68"/>
    </row>
    <row r="432" spans="1:7" ht="16.5">
      <c r="A432" s="68"/>
      <c r="B432" s="68"/>
      <c r="C432" s="68"/>
      <c r="D432" s="68"/>
      <c r="E432" s="68"/>
      <c r="F432" s="68"/>
      <c r="G432" s="68"/>
    </row>
    <row r="433" spans="1:7" ht="16.5">
      <c r="A433" s="68"/>
      <c r="B433" s="68"/>
      <c r="C433" s="68"/>
      <c r="D433" s="68"/>
      <c r="E433" s="68"/>
      <c r="F433" s="68"/>
      <c r="G433" s="68"/>
    </row>
    <row r="434" spans="1:7" ht="16.5">
      <c r="A434" s="68"/>
      <c r="B434" s="68"/>
      <c r="C434" s="68"/>
      <c r="D434" s="68"/>
      <c r="E434" s="68"/>
      <c r="F434" s="68"/>
      <c r="G434" s="68"/>
    </row>
    <row r="435" spans="1:7" ht="16.5">
      <c r="A435" s="68"/>
      <c r="B435" s="68"/>
      <c r="C435" s="68"/>
      <c r="D435" s="68"/>
      <c r="E435" s="68"/>
      <c r="F435" s="68"/>
      <c r="G435" s="68"/>
    </row>
    <row r="436" spans="1:7" ht="16.5">
      <c r="A436" s="68"/>
      <c r="B436" s="68"/>
      <c r="C436" s="68"/>
      <c r="D436" s="68"/>
      <c r="E436" s="68"/>
      <c r="F436" s="68"/>
      <c r="G436" s="68"/>
    </row>
    <row r="437" spans="1:7" ht="16.5">
      <c r="A437" s="68"/>
      <c r="B437" s="68"/>
      <c r="C437" s="68"/>
      <c r="D437" s="68"/>
      <c r="E437" s="68"/>
      <c r="F437" s="68"/>
      <c r="G437" s="68"/>
    </row>
    <row r="438" spans="1:7" ht="16.5">
      <c r="A438" s="68"/>
      <c r="B438" s="68"/>
      <c r="C438" s="68"/>
      <c r="D438" s="68"/>
      <c r="E438" s="68"/>
      <c r="F438" s="68"/>
      <c r="G438" s="68"/>
    </row>
    <row r="439" spans="1:7" ht="16.5">
      <c r="A439" s="68"/>
      <c r="B439" s="68"/>
      <c r="C439" s="68"/>
      <c r="D439" s="68"/>
      <c r="E439" s="68"/>
      <c r="F439" s="68"/>
      <c r="G439" s="68"/>
    </row>
    <row r="440" spans="1:7" ht="16.5">
      <c r="A440" s="68"/>
      <c r="B440" s="68"/>
      <c r="C440" s="68"/>
      <c r="D440" s="68"/>
      <c r="E440" s="68"/>
      <c r="F440" s="68"/>
      <c r="G440" s="68"/>
    </row>
    <row r="441" spans="1:7" ht="16.5">
      <c r="A441" s="68"/>
      <c r="B441" s="68"/>
      <c r="C441" s="68"/>
      <c r="D441" s="68"/>
      <c r="E441" s="68"/>
      <c r="F441" s="68"/>
      <c r="G441" s="68"/>
    </row>
    <row r="442" spans="1:7" ht="16.5">
      <c r="A442" s="68"/>
      <c r="B442" s="68"/>
      <c r="C442" s="68"/>
      <c r="D442" s="68"/>
      <c r="E442" s="68"/>
      <c r="F442" s="68"/>
      <c r="G442" s="68"/>
    </row>
    <row r="443" spans="1:7" ht="16.5">
      <c r="A443" s="68"/>
      <c r="B443" s="68"/>
      <c r="C443" s="68"/>
      <c r="D443" s="68"/>
      <c r="E443" s="68"/>
      <c r="F443" s="68"/>
      <c r="G443" s="68"/>
    </row>
    <row r="444" spans="1:7" ht="16.5">
      <c r="A444" s="68"/>
      <c r="B444" s="68"/>
      <c r="C444" s="68"/>
      <c r="D444" s="68"/>
      <c r="E444" s="68"/>
      <c r="F444" s="68"/>
      <c r="G444" s="68"/>
    </row>
    <row r="445" spans="1:7" ht="16.5">
      <c r="A445" s="68"/>
      <c r="B445" s="68"/>
      <c r="C445" s="68"/>
      <c r="D445" s="68"/>
      <c r="E445" s="68"/>
      <c r="F445" s="68"/>
      <c r="G445" s="68"/>
    </row>
    <row r="446" spans="1:7" ht="16.5">
      <c r="A446" s="68"/>
      <c r="B446" s="68"/>
      <c r="C446" s="68"/>
      <c r="D446" s="68"/>
      <c r="E446" s="68"/>
      <c r="F446" s="68"/>
      <c r="G446" s="68"/>
    </row>
    <row r="447" spans="1:7" ht="16.5">
      <c r="A447" s="68"/>
      <c r="B447" s="68"/>
      <c r="C447" s="68"/>
      <c r="D447" s="68"/>
      <c r="E447" s="68"/>
      <c r="F447" s="68"/>
      <c r="G447" s="68"/>
    </row>
    <row r="448" spans="1:7" ht="16.5">
      <c r="A448" s="68"/>
      <c r="B448" s="68"/>
      <c r="C448" s="68"/>
      <c r="D448" s="68"/>
      <c r="E448" s="68"/>
      <c r="F448" s="68"/>
      <c r="G448" s="68"/>
    </row>
    <row r="449" spans="1:7" ht="16.5">
      <c r="A449" s="68"/>
      <c r="B449" s="68"/>
      <c r="C449" s="68"/>
      <c r="D449" s="68"/>
      <c r="E449" s="68"/>
      <c r="F449" s="68"/>
      <c r="G449" s="68"/>
    </row>
    <row r="450" spans="1:7" ht="16.5">
      <c r="A450" s="68"/>
      <c r="B450" s="68"/>
      <c r="C450" s="68"/>
      <c r="D450" s="68"/>
      <c r="E450" s="68"/>
      <c r="F450" s="68"/>
      <c r="G450" s="68"/>
    </row>
    <row r="451" spans="1:7" ht="16.5">
      <c r="A451" s="68"/>
      <c r="B451" s="68"/>
      <c r="C451" s="68"/>
      <c r="D451" s="68"/>
      <c r="E451" s="68"/>
      <c r="F451" s="68"/>
      <c r="G451" s="68"/>
    </row>
    <row r="452" spans="1:7" ht="16.5">
      <c r="A452" s="68"/>
      <c r="B452" s="68"/>
      <c r="C452" s="68"/>
      <c r="D452" s="68"/>
      <c r="E452" s="68"/>
      <c r="F452" s="68"/>
      <c r="G452" s="68"/>
    </row>
    <row r="453" spans="1:7" ht="16.5">
      <c r="A453" s="68"/>
      <c r="B453" s="68"/>
      <c r="C453" s="68"/>
      <c r="D453" s="68"/>
      <c r="E453" s="68"/>
      <c r="F453" s="68"/>
      <c r="G453" s="68"/>
    </row>
    <row r="454" spans="1:7" ht="16.5">
      <c r="A454" s="68"/>
      <c r="B454" s="68"/>
      <c r="C454" s="68"/>
      <c r="D454" s="68"/>
      <c r="E454" s="68"/>
      <c r="F454" s="68"/>
      <c r="G454" s="68"/>
    </row>
    <row r="455" spans="1:7" ht="16.5">
      <c r="A455" s="68"/>
      <c r="B455" s="68"/>
      <c r="C455" s="68"/>
      <c r="D455" s="68"/>
      <c r="E455" s="68"/>
      <c r="F455" s="68"/>
      <c r="G455" s="68"/>
    </row>
    <row r="456" spans="1:7" ht="16.5">
      <c r="A456" s="68"/>
      <c r="B456" s="68"/>
      <c r="C456" s="68"/>
      <c r="D456" s="68"/>
      <c r="E456" s="68"/>
      <c r="F456" s="68"/>
      <c r="G456" s="68"/>
    </row>
    <row r="457" spans="1:7" ht="16.5">
      <c r="A457" s="68"/>
      <c r="B457" s="68"/>
      <c r="C457" s="68"/>
      <c r="D457" s="68"/>
      <c r="E457" s="68"/>
      <c r="F457" s="68"/>
      <c r="G457" s="68"/>
    </row>
    <row r="458" spans="1:7" ht="16.5">
      <c r="A458" s="68"/>
      <c r="B458" s="68"/>
      <c r="C458" s="68"/>
      <c r="D458" s="68"/>
      <c r="E458" s="68"/>
      <c r="F458" s="68"/>
      <c r="G458" s="68"/>
    </row>
    <row r="459" spans="1:7" ht="16.5">
      <c r="A459" s="68"/>
      <c r="B459" s="68"/>
      <c r="C459" s="68"/>
      <c r="D459" s="68"/>
      <c r="E459" s="68"/>
      <c r="F459" s="68"/>
      <c r="G459" s="68"/>
    </row>
    <row r="460" spans="1:7" ht="16.5">
      <c r="A460" s="68"/>
      <c r="B460" s="68"/>
      <c r="C460" s="68"/>
      <c r="D460" s="68"/>
      <c r="E460" s="68"/>
      <c r="F460" s="68"/>
      <c r="G460" s="68"/>
    </row>
    <row r="461" spans="1:7" ht="16.5">
      <c r="A461" s="68"/>
      <c r="B461" s="68"/>
      <c r="C461" s="68"/>
      <c r="D461" s="68"/>
      <c r="E461" s="68"/>
      <c r="F461" s="68"/>
      <c r="G461" s="68"/>
    </row>
    <row r="462" spans="1:7" ht="16.5">
      <c r="A462" s="68"/>
      <c r="B462" s="68"/>
      <c r="C462" s="68"/>
      <c r="D462" s="68"/>
      <c r="E462" s="68"/>
      <c r="F462" s="68"/>
      <c r="G462" s="68"/>
    </row>
    <row r="463" spans="1:7" ht="16.5">
      <c r="A463" s="68"/>
      <c r="B463" s="68"/>
      <c r="C463" s="68"/>
      <c r="D463" s="68"/>
      <c r="E463" s="68"/>
      <c r="F463" s="68"/>
      <c r="G463" s="68"/>
    </row>
    <row r="464" spans="1:7" ht="16.5">
      <c r="A464" s="68"/>
      <c r="B464" s="68"/>
      <c r="C464" s="68"/>
      <c r="D464" s="68"/>
      <c r="E464" s="68"/>
      <c r="F464" s="68"/>
      <c r="G464" s="68"/>
    </row>
    <row r="465" spans="1:7" ht="16.5">
      <c r="A465" s="68"/>
      <c r="B465" s="68"/>
      <c r="C465" s="68"/>
      <c r="D465" s="68"/>
      <c r="E465" s="68"/>
      <c r="F465" s="68"/>
      <c r="G465" s="68"/>
    </row>
    <row r="466" spans="1:7" ht="16.5">
      <c r="A466" s="68"/>
      <c r="B466" s="68"/>
      <c r="C466" s="68"/>
      <c r="D466" s="68"/>
      <c r="E466" s="68"/>
      <c r="F466" s="68"/>
      <c r="G466" s="68"/>
    </row>
    <row r="467" spans="1:7" ht="16.5">
      <c r="A467" s="68"/>
      <c r="B467" s="68"/>
      <c r="C467" s="68"/>
      <c r="D467" s="68"/>
      <c r="E467" s="68"/>
      <c r="F467" s="68"/>
      <c r="G467" s="68"/>
    </row>
    <row r="468" spans="1:7" ht="16.5">
      <c r="A468" s="68"/>
      <c r="B468" s="68"/>
      <c r="C468" s="68"/>
      <c r="D468" s="68"/>
      <c r="E468" s="68"/>
      <c r="F468" s="68"/>
      <c r="G468" s="68"/>
    </row>
    <row r="469" spans="1:7" ht="16.5">
      <c r="A469" s="68"/>
      <c r="B469" s="68"/>
      <c r="C469" s="68"/>
      <c r="D469" s="68"/>
      <c r="E469" s="68"/>
      <c r="F469" s="68"/>
      <c r="G469" s="68"/>
    </row>
    <row r="470" spans="1:7" ht="16.5">
      <c r="A470" s="68"/>
      <c r="B470" s="68"/>
      <c r="C470" s="68"/>
      <c r="D470" s="68"/>
      <c r="E470" s="68"/>
      <c r="F470" s="68"/>
      <c r="G470" s="68"/>
    </row>
    <row r="471" spans="1:7" ht="16.5">
      <c r="A471" s="68"/>
      <c r="B471" s="68"/>
      <c r="C471" s="68"/>
      <c r="D471" s="68"/>
      <c r="E471" s="68"/>
      <c r="F471" s="68"/>
      <c r="G471" s="68"/>
    </row>
    <row r="472" spans="1:7" ht="16.5">
      <c r="A472" s="68"/>
      <c r="B472" s="68"/>
      <c r="C472" s="68"/>
      <c r="D472" s="68"/>
      <c r="E472" s="68"/>
      <c r="F472" s="68"/>
      <c r="G472" s="68"/>
    </row>
    <row r="473" spans="1:7" ht="16.5">
      <c r="A473" s="68"/>
      <c r="B473" s="68"/>
      <c r="C473" s="68"/>
      <c r="D473" s="68"/>
      <c r="E473" s="68"/>
      <c r="F473" s="68"/>
      <c r="G473" s="68"/>
    </row>
    <row r="474" spans="1:7" ht="16.5">
      <c r="A474" s="68"/>
      <c r="B474" s="68"/>
      <c r="C474" s="68"/>
      <c r="D474" s="68"/>
      <c r="E474" s="68"/>
      <c r="F474" s="68"/>
      <c r="G474" s="68"/>
    </row>
    <row r="475" spans="1:7" ht="16.5">
      <c r="A475" s="68"/>
      <c r="B475" s="68"/>
      <c r="C475" s="68"/>
      <c r="D475" s="68"/>
      <c r="E475" s="68"/>
      <c r="F475" s="68"/>
      <c r="G475" s="68"/>
    </row>
    <row r="476" spans="1:7" ht="16.5">
      <c r="A476" s="68"/>
      <c r="B476" s="68"/>
      <c r="C476" s="68"/>
      <c r="D476" s="68"/>
      <c r="E476" s="68"/>
      <c r="F476" s="68"/>
      <c r="G476" s="68"/>
    </row>
    <row r="477" spans="1:7" ht="16.5">
      <c r="A477" s="68"/>
      <c r="B477" s="68"/>
      <c r="C477" s="68"/>
      <c r="D477" s="68"/>
      <c r="E477" s="68"/>
      <c r="F477" s="68"/>
      <c r="G477" s="68"/>
    </row>
    <row r="478" spans="1:7" ht="16.5">
      <c r="A478" s="68"/>
      <c r="B478" s="68"/>
      <c r="C478" s="68"/>
      <c r="D478" s="68"/>
      <c r="E478" s="68"/>
      <c r="F478" s="68"/>
      <c r="G478" s="68"/>
    </row>
    <row r="479" spans="1:7" ht="16.5">
      <c r="A479" s="68"/>
      <c r="B479" s="68"/>
      <c r="C479" s="68"/>
      <c r="D479" s="68"/>
      <c r="E479" s="68"/>
      <c r="F479" s="68"/>
      <c r="G479" s="68"/>
    </row>
    <row r="480" spans="1:7" ht="16.5">
      <c r="A480" s="68"/>
      <c r="B480" s="68"/>
      <c r="C480" s="68"/>
      <c r="D480" s="68"/>
      <c r="E480" s="68"/>
      <c r="F480" s="68"/>
      <c r="G480" s="68"/>
    </row>
    <row r="481" spans="1:7" ht="16.5">
      <c r="A481" s="68"/>
      <c r="B481" s="68"/>
      <c r="C481" s="68"/>
      <c r="D481" s="68"/>
      <c r="E481" s="68"/>
      <c r="F481" s="68"/>
      <c r="G481" s="68"/>
    </row>
    <row r="482" spans="1:7" ht="16.5">
      <c r="A482" s="68"/>
      <c r="B482" s="68"/>
      <c r="C482" s="68"/>
      <c r="D482" s="68"/>
      <c r="E482" s="68"/>
      <c r="F482" s="68"/>
      <c r="G482" s="68"/>
    </row>
    <row r="483" spans="1:7" ht="16.5">
      <c r="A483" s="68"/>
      <c r="B483" s="68"/>
      <c r="C483" s="68"/>
      <c r="D483" s="68"/>
      <c r="E483" s="68"/>
      <c r="F483" s="68"/>
      <c r="G483" s="68"/>
    </row>
    <row r="484" spans="1:7" ht="16.5">
      <c r="A484" s="68"/>
      <c r="B484" s="68"/>
      <c r="C484" s="68"/>
      <c r="D484" s="68"/>
      <c r="E484" s="68"/>
      <c r="F484" s="68"/>
      <c r="G484" s="68"/>
    </row>
    <row r="485" spans="1:7" ht="16.5">
      <c r="A485" s="68"/>
      <c r="B485" s="68"/>
      <c r="C485" s="68"/>
      <c r="D485" s="68"/>
      <c r="E485" s="68"/>
      <c r="F485" s="68"/>
      <c r="G485" s="68"/>
    </row>
    <row r="486" spans="1:7" ht="16.5">
      <c r="A486" s="68"/>
      <c r="B486" s="68"/>
      <c r="C486" s="68"/>
      <c r="D486" s="68"/>
      <c r="E486" s="68"/>
      <c r="F486" s="68"/>
      <c r="G486" s="68"/>
    </row>
    <row r="487" spans="1:7" ht="16.5">
      <c r="A487" s="68"/>
      <c r="B487" s="68"/>
      <c r="C487" s="68"/>
      <c r="D487" s="68"/>
      <c r="E487" s="68"/>
      <c r="F487" s="68"/>
      <c r="G487" s="68"/>
    </row>
    <row r="488" spans="1:7" ht="16.5">
      <c r="A488" s="68"/>
      <c r="B488" s="68"/>
      <c r="C488" s="68"/>
      <c r="D488" s="68"/>
      <c r="E488" s="68"/>
      <c r="F488" s="68"/>
      <c r="G488" s="68"/>
    </row>
    <row r="489" spans="1:7" ht="16.5">
      <c r="A489" s="68"/>
      <c r="B489" s="68"/>
      <c r="C489" s="68"/>
      <c r="D489" s="68"/>
      <c r="E489" s="68"/>
      <c r="F489" s="68"/>
      <c r="G489" s="68"/>
    </row>
    <row r="490" spans="1:7" ht="16.5">
      <c r="A490" s="68"/>
      <c r="B490" s="68"/>
      <c r="C490" s="68"/>
      <c r="D490" s="68"/>
      <c r="E490" s="68"/>
      <c r="F490" s="68"/>
      <c r="G490" s="68"/>
    </row>
    <row r="491" spans="1:7" ht="16.5">
      <c r="A491" s="68"/>
      <c r="B491" s="68"/>
      <c r="C491" s="68"/>
      <c r="D491" s="68"/>
      <c r="E491" s="68"/>
      <c r="F491" s="68"/>
      <c r="G491" s="68"/>
    </row>
    <row r="492" spans="1:7" ht="16.5">
      <c r="A492" s="68"/>
      <c r="B492" s="68"/>
      <c r="C492" s="68"/>
      <c r="D492" s="68"/>
      <c r="E492" s="68"/>
      <c r="F492" s="68"/>
      <c r="G492" s="68"/>
    </row>
    <row r="493" spans="1:7" ht="16.5">
      <c r="A493" s="68"/>
      <c r="B493" s="68"/>
      <c r="C493" s="68"/>
      <c r="D493" s="68"/>
      <c r="E493" s="68"/>
      <c r="F493" s="68"/>
      <c r="G493" s="68"/>
    </row>
    <row r="494" spans="1:7" ht="16.5">
      <c r="A494" s="68"/>
      <c r="B494" s="68"/>
      <c r="C494" s="68"/>
      <c r="D494" s="68"/>
      <c r="E494" s="68"/>
      <c r="F494" s="68"/>
      <c r="G494" s="68"/>
    </row>
    <row r="495" spans="1:7" ht="16.5">
      <c r="A495" s="68"/>
      <c r="B495" s="68"/>
      <c r="C495" s="68"/>
      <c r="D495" s="68"/>
      <c r="E495" s="68"/>
      <c r="F495" s="68"/>
      <c r="G495" s="68"/>
    </row>
    <row r="496" spans="1:7" ht="16.5">
      <c r="A496" s="68"/>
      <c r="B496" s="68"/>
      <c r="C496" s="68"/>
      <c r="D496" s="68"/>
      <c r="E496" s="68"/>
      <c r="F496" s="68"/>
      <c r="G496" s="68"/>
    </row>
    <row r="497" spans="1:7" ht="16.5">
      <c r="A497" s="68"/>
      <c r="B497" s="68"/>
      <c r="C497" s="68"/>
      <c r="D497" s="68"/>
      <c r="E497" s="68"/>
      <c r="F497" s="68"/>
      <c r="G497" s="68"/>
    </row>
    <row r="498" spans="1:7" ht="16.5">
      <c r="A498" s="68"/>
      <c r="B498" s="68"/>
      <c r="C498" s="68"/>
      <c r="D498" s="68"/>
      <c r="E498" s="68"/>
      <c r="F498" s="68"/>
      <c r="G498" s="68"/>
    </row>
    <row r="499" spans="1:7" ht="16.5">
      <c r="A499" s="68"/>
      <c r="B499" s="68"/>
      <c r="C499" s="68"/>
      <c r="D499" s="68"/>
      <c r="E499" s="68"/>
      <c r="F499" s="68"/>
      <c r="G499" s="68"/>
    </row>
    <row r="500" spans="1:7" ht="16.5">
      <c r="A500" s="68"/>
      <c r="B500" s="68"/>
      <c r="C500" s="68"/>
      <c r="D500" s="68"/>
      <c r="E500" s="68"/>
      <c r="F500" s="68"/>
      <c r="G500" s="68"/>
    </row>
    <row r="501" spans="1:7" ht="16.5">
      <c r="A501" s="68"/>
      <c r="B501" s="68"/>
      <c r="C501" s="68"/>
      <c r="D501" s="68"/>
      <c r="E501" s="68"/>
      <c r="F501" s="68"/>
      <c r="G501" s="68"/>
    </row>
    <row r="502" spans="1:7" ht="16.5">
      <c r="A502" s="68"/>
      <c r="B502" s="68"/>
      <c r="C502" s="68"/>
      <c r="D502" s="68"/>
      <c r="E502" s="68"/>
      <c r="F502" s="68"/>
      <c r="G502" s="68"/>
    </row>
    <row r="503" spans="1:7" ht="16.5">
      <c r="A503" s="68"/>
      <c r="B503" s="68"/>
      <c r="C503" s="68"/>
      <c r="D503" s="68"/>
      <c r="E503" s="68"/>
      <c r="F503" s="68"/>
      <c r="G503" s="68"/>
    </row>
    <row r="504" spans="1:7" ht="16.5">
      <c r="A504" s="68"/>
      <c r="B504" s="68"/>
      <c r="C504" s="68"/>
      <c r="D504" s="68"/>
      <c r="E504" s="68"/>
      <c r="F504" s="68"/>
      <c r="G504" s="68"/>
    </row>
    <row r="505" spans="1:7" ht="16.5">
      <c r="A505" s="68"/>
      <c r="B505" s="68"/>
      <c r="C505" s="68"/>
      <c r="D505" s="68"/>
      <c r="E505" s="68"/>
      <c r="F505" s="68"/>
      <c r="G505" s="68"/>
    </row>
    <row r="506" spans="1:7" ht="16.5">
      <c r="A506" s="68"/>
      <c r="B506" s="68"/>
      <c r="C506" s="68"/>
      <c r="D506" s="68"/>
      <c r="E506" s="68"/>
      <c r="F506" s="68"/>
      <c r="G506" s="68"/>
    </row>
    <row r="507" spans="1:7" ht="16.5">
      <c r="A507" s="68"/>
      <c r="B507" s="68"/>
      <c r="C507" s="68"/>
      <c r="D507" s="68"/>
      <c r="E507" s="68"/>
      <c r="F507" s="68"/>
      <c r="G507" s="68"/>
    </row>
    <row r="508" spans="1:7" ht="16.5">
      <c r="A508" s="68"/>
      <c r="B508" s="68"/>
      <c r="C508" s="68"/>
      <c r="D508" s="68"/>
      <c r="E508" s="68"/>
      <c r="F508" s="68"/>
      <c r="G508" s="68"/>
    </row>
    <row r="509" spans="1:7" ht="16.5">
      <c r="A509" s="68"/>
      <c r="B509" s="68"/>
      <c r="C509" s="68"/>
      <c r="D509" s="68"/>
      <c r="E509" s="68"/>
      <c r="F509" s="68"/>
      <c r="G509" s="68"/>
    </row>
    <row r="510" spans="1:7" ht="16.5">
      <c r="A510" s="68"/>
      <c r="B510" s="68"/>
      <c r="C510" s="68"/>
      <c r="D510" s="68"/>
      <c r="E510" s="68"/>
      <c r="F510" s="68"/>
      <c r="G510" s="68"/>
    </row>
    <row r="511" spans="1:7" ht="16.5">
      <c r="A511" s="68"/>
      <c r="B511" s="68"/>
      <c r="C511" s="68"/>
      <c r="D511" s="68"/>
      <c r="E511" s="68"/>
      <c r="F511" s="68"/>
      <c r="G511" s="68"/>
    </row>
    <row r="512" spans="1:7" ht="16.5">
      <c r="A512" s="68"/>
      <c r="B512" s="68"/>
      <c r="C512" s="68"/>
      <c r="D512" s="68"/>
      <c r="E512" s="68"/>
      <c r="F512" s="68"/>
      <c r="G512" s="68"/>
    </row>
    <row r="513" spans="1:7" ht="16.5">
      <c r="A513" s="68"/>
      <c r="B513" s="68"/>
      <c r="C513" s="68"/>
      <c r="D513" s="68"/>
      <c r="E513" s="68"/>
      <c r="F513" s="68"/>
      <c r="G513" s="68"/>
    </row>
    <row r="514" spans="1:7" ht="16.5">
      <c r="A514" s="68"/>
      <c r="B514" s="68"/>
      <c r="C514" s="68"/>
      <c r="D514" s="68"/>
      <c r="E514" s="68"/>
      <c r="F514" s="68"/>
      <c r="G514" s="68"/>
    </row>
    <row r="515" spans="1:7" ht="16.5">
      <c r="A515" s="68"/>
      <c r="B515" s="68"/>
      <c r="C515" s="68"/>
      <c r="D515" s="68"/>
      <c r="E515" s="68"/>
      <c r="F515" s="68"/>
      <c r="G515" s="68"/>
    </row>
    <row r="516" spans="1:7" ht="16.5">
      <c r="A516" s="68"/>
      <c r="B516" s="68"/>
      <c r="C516" s="68"/>
      <c r="D516" s="68"/>
      <c r="E516" s="68"/>
      <c r="F516" s="68"/>
      <c r="G516" s="68"/>
    </row>
    <row r="517" spans="1:7" ht="16.5">
      <c r="A517" s="68"/>
      <c r="B517" s="68"/>
      <c r="C517" s="68"/>
      <c r="D517" s="68"/>
      <c r="E517" s="68"/>
      <c r="F517" s="68"/>
      <c r="G517" s="68"/>
    </row>
    <row r="518" spans="1:7" ht="16.5">
      <c r="A518" s="68"/>
      <c r="B518" s="68"/>
      <c r="C518" s="68"/>
      <c r="D518" s="68"/>
      <c r="E518" s="68"/>
      <c r="F518" s="68"/>
      <c r="G518" s="68"/>
    </row>
    <row r="519" spans="1:7" ht="16.5">
      <c r="A519" s="68"/>
      <c r="B519" s="68"/>
      <c r="C519" s="68"/>
      <c r="D519" s="68"/>
      <c r="E519" s="68"/>
      <c r="F519" s="68"/>
      <c r="G519" s="68"/>
    </row>
    <row r="520" spans="1:7" ht="16.5">
      <c r="A520" s="68"/>
      <c r="B520" s="68"/>
      <c r="C520" s="68"/>
      <c r="D520" s="68"/>
      <c r="E520" s="68"/>
      <c r="F520" s="68"/>
      <c r="G520" s="68"/>
    </row>
    <row r="521" spans="1:7" ht="16.5">
      <c r="A521" s="68"/>
      <c r="B521" s="68"/>
      <c r="C521" s="68"/>
      <c r="D521" s="68"/>
      <c r="E521" s="68"/>
      <c r="F521" s="68"/>
      <c r="G521" s="68"/>
    </row>
    <row r="522" spans="1:7" ht="16.5">
      <c r="A522" s="68"/>
      <c r="B522" s="68"/>
      <c r="C522" s="68"/>
      <c r="D522" s="68"/>
      <c r="E522" s="68"/>
      <c r="F522" s="68"/>
      <c r="G522" s="68"/>
    </row>
    <row r="523" spans="1:7" ht="16.5">
      <c r="A523" s="68"/>
      <c r="B523" s="68"/>
      <c r="C523" s="68"/>
      <c r="D523" s="68"/>
      <c r="E523" s="68"/>
      <c r="F523" s="68"/>
      <c r="G523" s="68"/>
    </row>
    <row r="524" spans="1:7" ht="16.5">
      <c r="A524" s="68"/>
      <c r="B524" s="68"/>
      <c r="C524" s="68"/>
      <c r="D524" s="68"/>
      <c r="E524" s="68"/>
      <c r="F524" s="68"/>
      <c r="G524" s="68"/>
    </row>
    <row r="525" spans="1:7" ht="16.5">
      <c r="A525" s="68"/>
      <c r="B525" s="68"/>
      <c r="C525" s="68"/>
      <c r="D525" s="68"/>
      <c r="E525" s="68"/>
      <c r="F525" s="68"/>
      <c r="G525" s="68"/>
    </row>
    <row r="526" spans="1:7" ht="16.5">
      <c r="A526" s="68"/>
      <c r="B526" s="68"/>
      <c r="C526" s="68"/>
      <c r="D526" s="68"/>
      <c r="E526" s="68"/>
      <c r="F526" s="68"/>
      <c r="G526" s="68"/>
    </row>
    <row r="527" spans="1:7" ht="16.5">
      <c r="A527" s="68"/>
      <c r="B527" s="68"/>
      <c r="C527" s="68"/>
      <c r="D527" s="68"/>
      <c r="E527" s="68"/>
      <c r="F527" s="68"/>
      <c r="G527" s="68"/>
    </row>
    <row r="528" spans="1:7" ht="16.5">
      <c r="A528" s="68"/>
      <c r="B528" s="68"/>
      <c r="C528" s="68"/>
      <c r="D528" s="68"/>
      <c r="E528" s="68"/>
      <c r="F528" s="68"/>
      <c r="G528" s="68"/>
    </row>
    <row r="529" spans="1:7" ht="16.5">
      <c r="A529" s="68"/>
      <c r="B529" s="68"/>
      <c r="C529" s="68"/>
      <c r="D529" s="68"/>
      <c r="E529" s="68"/>
      <c r="F529" s="68"/>
      <c r="G529" s="68"/>
    </row>
    <row r="530" spans="1:7" ht="16.5">
      <c r="A530" s="68"/>
      <c r="B530" s="68"/>
      <c r="C530" s="68"/>
      <c r="D530" s="68"/>
      <c r="E530" s="68"/>
      <c r="F530" s="68"/>
      <c r="G530" s="68"/>
    </row>
    <row r="531" spans="1:7" ht="16.5">
      <c r="A531" s="68"/>
      <c r="B531" s="68"/>
      <c r="C531" s="68"/>
      <c r="D531" s="68"/>
      <c r="E531" s="68"/>
      <c r="F531" s="68"/>
      <c r="G531" s="68"/>
    </row>
    <row r="532" spans="1:7" ht="16.5">
      <c r="A532" s="68"/>
      <c r="B532" s="68"/>
      <c r="C532" s="68"/>
      <c r="D532" s="68"/>
      <c r="E532" s="68"/>
      <c r="F532" s="68"/>
      <c r="G532" s="68"/>
    </row>
    <row r="533" spans="1:7" ht="16.5">
      <c r="A533" s="68"/>
      <c r="B533" s="68"/>
      <c r="C533" s="68"/>
      <c r="D533" s="68"/>
      <c r="E533" s="68"/>
      <c r="F533" s="68"/>
      <c r="G533" s="68"/>
    </row>
    <row r="534" spans="1:7" ht="16.5">
      <c r="A534" s="68"/>
      <c r="B534" s="68"/>
      <c r="C534" s="68"/>
      <c r="D534" s="68"/>
      <c r="E534" s="68"/>
      <c r="F534" s="68"/>
      <c r="G534" s="68"/>
    </row>
    <row r="535" spans="1:7" ht="16.5">
      <c r="A535" s="68"/>
      <c r="B535" s="68"/>
      <c r="C535" s="68"/>
      <c r="D535" s="68"/>
      <c r="E535" s="68"/>
      <c r="F535" s="68"/>
      <c r="G535" s="68"/>
    </row>
    <row r="536" spans="1:7" ht="16.5">
      <c r="A536" s="68"/>
      <c r="B536" s="68"/>
      <c r="C536" s="68"/>
      <c r="D536" s="68"/>
      <c r="E536" s="68"/>
      <c r="F536" s="68"/>
      <c r="G536" s="68"/>
    </row>
    <row r="537" spans="1:7" ht="16.5">
      <c r="A537" s="68"/>
      <c r="B537" s="68"/>
      <c r="C537" s="68"/>
      <c r="D537" s="68"/>
      <c r="E537" s="68"/>
      <c r="F537" s="68"/>
      <c r="G537" s="68"/>
    </row>
    <row r="538" spans="1:7" ht="16.5">
      <c r="A538" s="68"/>
      <c r="B538" s="68"/>
      <c r="C538" s="68"/>
      <c r="D538" s="68"/>
      <c r="E538" s="68"/>
      <c r="F538" s="68"/>
      <c r="G538" s="68"/>
    </row>
    <row r="539" spans="1:7" ht="16.5">
      <c r="A539" s="68"/>
      <c r="B539" s="68"/>
      <c r="C539" s="68"/>
      <c r="D539" s="68"/>
      <c r="E539" s="68"/>
      <c r="F539" s="68"/>
      <c r="G539" s="68"/>
    </row>
    <row r="540" spans="1:7" ht="16.5">
      <c r="A540" s="68"/>
      <c r="B540" s="68"/>
      <c r="C540" s="68"/>
      <c r="D540" s="68"/>
      <c r="E540" s="68"/>
      <c r="F540" s="68"/>
      <c r="G540" s="68"/>
    </row>
    <row r="541" spans="1:7" ht="16.5">
      <c r="A541" s="68"/>
      <c r="B541" s="68"/>
      <c r="C541" s="68"/>
      <c r="D541" s="68"/>
      <c r="E541" s="68"/>
      <c r="F541" s="68"/>
      <c r="G541" s="68"/>
    </row>
    <row r="542" spans="1:7" ht="16.5">
      <c r="A542" s="68"/>
      <c r="B542" s="68"/>
      <c r="C542" s="68"/>
      <c r="D542" s="68"/>
      <c r="E542" s="68"/>
      <c r="F542" s="68"/>
      <c r="G542" s="68"/>
    </row>
    <row r="543" spans="1:7" ht="16.5">
      <c r="A543" s="68"/>
      <c r="B543" s="68"/>
      <c r="C543" s="68"/>
      <c r="D543" s="68"/>
      <c r="E543" s="68"/>
      <c r="F543" s="68"/>
      <c r="G543" s="68"/>
    </row>
    <row r="544" spans="1:7" ht="16.5">
      <c r="A544" s="68"/>
      <c r="B544" s="68"/>
      <c r="C544" s="68"/>
      <c r="D544" s="68"/>
      <c r="E544" s="68"/>
      <c r="F544" s="68"/>
      <c r="G544" s="68"/>
    </row>
    <row r="545" spans="1:7" ht="16.5">
      <c r="A545" s="68"/>
      <c r="B545" s="68"/>
      <c r="C545" s="68"/>
      <c r="D545" s="68"/>
      <c r="E545" s="68"/>
      <c r="F545" s="68"/>
      <c r="G545" s="68"/>
    </row>
    <row r="546" spans="1:7" ht="16.5">
      <c r="A546" s="68"/>
      <c r="B546" s="68"/>
      <c r="C546" s="68"/>
      <c r="D546" s="68"/>
      <c r="E546" s="68"/>
      <c r="F546" s="68"/>
      <c r="G546" s="68"/>
    </row>
    <row r="547" spans="1:7" ht="16.5">
      <c r="A547" s="68"/>
      <c r="B547" s="68"/>
      <c r="C547" s="68"/>
      <c r="D547" s="68"/>
      <c r="E547" s="68"/>
      <c r="F547" s="68"/>
      <c r="G547" s="68"/>
    </row>
    <row r="548" spans="1:7" ht="16.5">
      <c r="A548" s="68"/>
      <c r="B548" s="68"/>
      <c r="C548" s="68"/>
      <c r="D548" s="68"/>
      <c r="E548" s="68"/>
      <c r="F548" s="68"/>
      <c r="G548" s="68"/>
    </row>
    <row r="549" spans="1:7" ht="16.5">
      <c r="A549" s="68"/>
      <c r="B549" s="68"/>
      <c r="C549" s="68"/>
      <c r="D549" s="68"/>
      <c r="E549" s="68"/>
      <c r="F549" s="68"/>
      <c r="G549" s="68"/>
    </row>
    <row r="550" spans="1:7" ht="16.5">
      <c r="A550" s="68"/>
      <c r="B550" s="68"/>
      <c r="C550" s="68"/>
      <c r="D550" s="68"/>
      <c r="E550" s="68"/>
      <c r="F550" s="68"/>
      <c r="G550" s="68"/>
    </row>
    <row r="551" spans="1:7" ht="16.5">
      <c r="A551" s="68"/>
      <c r="B551" s="68"/>
      <c r="C551" s="68"/>
      <c r="D551" s="68"/>
      <c r="E551" s="68"/>
      <c r="F551" s="68"/>
      <c r="G551" s="68"/>
    </row>
    <row r="552" spans="1:7" ht="16.5">
      <c r="A552" s="68"/>
      <c r="B552" s="68"/>
      <c r="C552" s="68"/>
      <c r="D552" s="68"/>
      <c r="E552" s="68"/>
      <c r="F552" s="68"/>
      <c r="G552" s="68"/>
    </row>
    <row r="553" spans="1:7" ht="16.5">
      <c r="A553" s="68"/>
      <c r="B553" s="68"/>
      <c r="C553" s="68"/>
      <c r="D553" s="68"/>
      <c r="E553" s="68"/>
      <c r="F553" s="68"/>
      <c r="G553" s="68"/>
    </row>
    <row r="554" spans="1:7" ht="16.5">
      <c r="A554" s="68"/>
      <c r="B554" s="68"/>
      <c r="C554" s="68"/>
      <c r="D554" s="68"/>
      <c r="E554" s="68"/>
      <c r="F554" s="68"/>
      <c r="G554" s="68"/>
    </row>
    <row r="555" spans="1:7" ht="16.5">
      <c r="A555" s="68"/>
      <c r="B555" s="68"/>
      <c r="C555" s="68"/>
      <c r="D555" s="68"/>
      <c r="E555" s="68"/>
      <c r="F555" s="68"/>
      <c r="G555" s="68"/>
    </row>
    <row r="556" spans="1:7" ht="16.5">
      <c r="A556" s="68"/>
      <c r="B556" s="68"/>
      <c r="C556" s="68"/>
      <c r="D556" s="68"/>
      <c r="E556" s="68"/>
      <c r="F556" s="68"/>
      <c r="G556" s="68"/>
    </row>
    <row r="557" spans="1:7" ht="16.5">
      <c r="A557" s="68"/>
      <c r="B557" s="68"/>
      <c r="C557" s="68"/>
      <c r="D557" s="68"/>
      <c r="E557" s="68"/>
      <c r="F557" s="68"/>
      <c r="G557" s="68"/>
    </row>
    <row r="558" spans="1:7" ht="16.5">
      <c r="A558" s="68"/>
      <c r="B558" s="68"/>
      <c r="C558" s="68"/>
      <c r="D558" s="68"/>
      <c r="E558" s="68"/>
      <c r="F558" s="68"/>
      <c r="G558" s="68"/>
    </row>
    <row r="559" spans="1:7" ht="16.5">
      <c r="A559" s="68"/>
      <c r="B559" s="68"/>
      <c r="C559" s="68"/>
      <c r="D559" s="68"/>
      <c r="E559" s="68"/>
      <c r="F559" s="68"/>
      <c r="G559" s="68"/>
    </row>
    <row r="560" spans="1:7" ht="16.5">
      <c r="A560" s="68"/>
      <c r="B560" s="68"/>
      <c r="C560" s="68"/>
      <c r="D560" s="68"/>
      <c r="E560" s="68"/>
      <c r="F560" s="68"/>
      <c r="G560" s="68"/>
    </row>
    <row r="561" spans="1:7" ht="16.5">
      <c r="A561" s="68"/>
      <c r="B561" s="68"/>
      <c r="C561" s="68"/>
      <c r="D561" s="68"/>
      <c r="E561" s="68"/>
      <c r="F561" s="68"/>
      <c r="G561" s="68"/>
    </row>
    <row r="562" spans="1:7" ht="16.5">
      <c r="A562" s="68"/>
      <c r="B562" s="68"/>
      <c r="C562" s="68"/>
      <c r="D562" s="68"/>
      <c r="E562" s="68"/>
      <c r="F562" s="68"/>
      <c r="G562" s="68"/>
    </row>
    <row r="563" spans="1:7" ht="16.5">
      <c r="A563" s="68"/>
      <c r="B563" s="68"/>
      <c r="C563" s="68"/>
      <c r="D563" s="68"/>
      <c r="E563" s="68"/>
      <c r="F563" s="68"/>
      <c r="G563" s="68"/>
    </row>
    <row r="564" spans="1:7" ht="16.5">
      <c r="A564" s="68"/>
      <c r="B564" s="68"/>
      <c r="C564" s="68"/>
      <c r="D564" s="68"/>
      <c r="E564" s="68"/>
      <c r="F564" s="68"/>
      <c r="G564" s="68"/>
    </row>
    <row r="565" spans="1:7" ht="16.5">
      <c r="A565" s="68"/>
      <c r="B565" s="68"/>
      <c r="C565" s="68"/>
      <c r="D565" s="68"/>
      <c r="E565" s="68"/>
      <c r="F565" s="68"/>
      <c r="G565" s="68"/>
    </row>
    <row r="566" spans="1:7" ht="16.5">
      <c r="A566" s="68"/>
      <c r="B566" s="68"/>
      <c r="C566" s="68"/>
      <c r="D566" s="68"/>
      <c r="E566" s="68"/>
      <c r="F566" s="68"/>
      <c r="G566" s="68"/>
    </row>
    <row r="567" spans="1:7" ht="16.5">
      <c r="A567" s="68"/>
      <c r="B567" s="68"/>
      <c r="C567" s="68"/>
      <c r="D567" s="68"/>
      <c r="E567" s="68"/>
      <c r="F567" s="68"/>
      <c r="G567" s="68"/>
    </row>
    <row r="568" spans="1:7" ht="16.5">
      <c r="A568" s="68"/>
      <c r="B568" s="68"/>
      <c r="C568" s="68"/>
      <c r="D568" s="68"/>
      <c r="E568" s="68"/>
      <c r="F568" s="68"/>
      <c r="G568" s="68"/>
    </row>
    <row r="569" spans="1:7" ht="16.5">
      <c r="A569" s="68"/>
      <c r="B569" s="68"/>
      <c r="C569" s="68"/>
      <c r="D569" s="68"/>
      <c r="E569" s="68"/>
      <c r="F569" s="68"/>
      <c r="G569" s="68"/>
    </row>
    <row r="570" spans="1:7" ht="16.5">
      <c r="A570" s="68"/>
      <c r="B570" s="68"/>
      <c r="C570" s="68"/>
      <c r="D570" s="68"/>
      <c r="E570" s="68"/>
      <c r="F570" s="68"/>
      <c r="G570" s="68"/>
    </row>
    <row r="571" spans="1:7" ht="16.5">
      <c r="A571" s="68"/>
      <c r="B571" s="68"/>
      <c r="C571" s="68"/>
      <c r="D571" s="68"/>
      <c r="E571" s="68"/>
      <c r="F571" s="68"/>
      <c r="G571" s="68"/>
    </row>
  </sheetData>
  <hyperlinks>
    <hyperlink ref="D2" r:id="rId1" xr:uid="{B04B3C14-5234-4999-8435-0AD6FC588D36}"/>
    <hyperlink ref="D3" r:id="rId2" xr:uid="{A339A492-4FBA-4A95-A0F0-1576E5D19480}"/>
    <hyperlink ref="D39" r:id="rId3" xr:uid="{972CB31E-7CB3-4DF1-94EC-4CD14242A29D}"/>
  </hyperlinks>
  <pageMargins left="0.7" right="0.7" top="0.75" bottom="0.75" header="0.3" footer="0.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8E63-C1D0-4311-B17C-31AEE943F6D0}">
  <sheetPr>
    <tabColor theme="0"/>
  </sheetPr>
  <dimension ref="A1:I72"/>
  <sheetViews>
    <sheetView workbookViewId="0"/>
  </sheetViews>
  <sheetFormatPr defaultRowHeight="15"/>
  <cols>
    <col min="1" max="1" width="107.28515625" bestFit="1" customWidth="1"/>
    <col min="2" max="2" width="98.28515625" bestFit="1" customWidth="1"/>
    <col min="3" max="3" width="9.28515625" bestFit="1" customWidth="1"/>
    <col min="4" max="4" width="134" customWidth="1"/>
    <col min="5" max="5" width="22" bestFit="1" customWidth="1"/>
    <col min="6" max="6" width="7.85546875" bestFit="1" customWidth="1"/>
    <col min="7" max="7" width="14.85546875" bestFit="1" customWidth="1"/>
    <col min="8" max="9" width="13.140625" bestFit="1" customWidth="1"/>
  </cols>
  <sheetData>
    <row r="1" spans="1:9" ht="45.75" customHeight="1">
      <c r="A1" s="69" t="s">
        <v>454</v>
      </c>
      <c r="B1" s="69" t="s">
        <v>1164</v>
      </c>
      <c r="C1" s="69" t="s">
        <v>464</v>
      </c>
      <c r="D1" s="69" t="s">
        <v>1165</v>
      </c>
      <c r="E1" s="69" t="s">
        <v>465</v>
      </c>
    </row>
    <row r="2" spans="1:9" ht="15" customHeight="1">
      <c r="A2" s="67" t="s">
        <v>1166</v>
      </c>
      <c r="B2" s="67" t="s">
        <v>1167</v>
      </c>
      <c r="C2" s="67" t="s">
        <v>487</v>
      </c>
      <c r="D2" s="67" t="s">
        <v>1168</v>
      </c>
      <c r="E2" s="67"/>
      <c r="F2" s="19"/>
      <c r="G2" s="19"/>
      <c r="H2" s="19"/>
      <c r="I2" s="19"/>
    </row>
    <row r="3" spans="1:9" ht="16.5">
      <c r="A3" s="26" t="s">
        <v>1169</v>
      </c>
      <c r="B3" s="26" t="s">
        <v>1170</v>
      </c>
      <c r="C3" s="26" t="s">
        <v>1171</v>
      </c>
      <c r="D3" s="26" t="s">
        <v>1172</v>
      </c>
      <c r="E3" s="28">
        <v>46052.333333333336</v>
      </c>
    </row>
    <row r="4" spans="1:9" ht="16.5">
      <c r="A4" s="26" t="s">
        <v>528</v>
      </c>
      <c r="B4" s="26" t="s">
        <v>1173</v>
      </c>
      <c r="C4" s="26" t="s">
        <v>487</v>
      </c>
      <c r="D4" s="26" t="s">
        <v>1174</v>
      </c>
      <c r="E4" s="26"/>
    </row>
    <row r="5" spans="1:9" ht="16.5">
      <c r="A5" s="26" t="s">
        <v>1175</v>
      </c>
      <c r="B5" s="26" t="s">
        <v>1176</v>
      </c>
      <c r="C5" s="26" t="s">
        <v>487</v>
      </c>
      <c r="D5" s="26" t="s">
        <v>1177</v>
      </c>
      <c r="E5" s="26"/>
    </row>
    <row r="6" spans="1:9" ht="16.5">
      <c r="A6" s="26" t="s">
        <v>557</v>
      </c>
      <c r="B6" s="26" t="s">
        <v>1178</v>
      </c>
      <c r="C6" s="26" t="s">
        <v>487</v>
      </c>
      <c r="D6" s="26" t="s">
        <v>1179</v>
      </c>
      <c r="E6" s="26"/>
    </row>
    <row r="7" spans="1:9" ht="16.5">
      <c r="A7" s="26" t="s">
        <v>561</v>
      </c>
      <c r="B7" s="26" t="s">
        <v>1180</v>
      </c>
      <c r="C7" s="26" t="s">
        <v>487</v>
      </c>
      <c r="D7" s="26" t="s">
        <v>1181</v>
      </c>
      <c r="E7" s="26"/>
    </row>
    <row r="8" spans="1:9" ht="16.5">
      <c r="A8" s="26" t="s">
        <v>564</v>
      </c>
      <c r="B8" s="26" t="s">
        <v>1182</v>
      </c>
      <c r="C8" s="26" t="s">
        <v>487</v>
      </c>
      <c r="D8" s="26" t="s">
        <v>1183</v>
      </c>
      <c r="E8" s="26"/>
    </row>
    <row r="9" spans="1:9" ht="16.5">
      <c r="A9" s="26" t="s">
        <v>576</v>
      </c>
      <c r="B9" s="26" t="s">
        <v>1184</v>
      </c>
      <c r="C9" s="26" t="s">
        <v>487</v>
      </c>
      <c r="D9" s="26" t="s">
        <v>1185</v>
      </c>
      <c r="E9" s="26"/>
    </row>
    <row r="10" spans="1:9" ht="16.5">
      <c r="A10" s="26" t="s">
        <v>579</v>
      </c>
      <c r="B10" s="26" t="s">
        <v>1186</v>
      </c>
      <c r="C10" s="26" t="s">
        <v>1171</v>
      </c>
      <c r="D10" s="26" t="s">
        <v>1187</v>
      </c>
      <c r="E10" s="26"/>
    </row>
    <row r="11" spans="1:9" ht="16.5">
      <c r="A11" s="26" t="s">
        <v>599</v>
      </c>
      <c r="B11" s="26" t="s">
        <v>1188</v>
      </c>
      <c r="C11" s="26" t="s">
        <v>487</v>
      </c>
      <c r="D11" s="26" t="s">
        <v>1189</v>
      </c>
      <c r="E11" s="26"/>
    </row>
    <row r="12" spans="1:9" ht="16.5">
      <c r="A12" s="26" t="s">
        <v>603</v>
      </c>
      <c r="B12" s="26" t="s">
        <v>1190</v>
      </c>
      <c r="C12" s="26" t="s">
        <v>487</v>
      </c>
      <c r="D12" s="26" t="s">
        <v>1191</v>
      </c>
      <c r="E12" s="28">
        <v>46052.333333333336</v>
      </c>
    </row>
    <row r="13" spans="1:9" ht="16.5">
      <c r="A13" s="26" t="s">
        <v>607</v>
      </c>
      <c r="B13" s="26" t="s">
        <v>1192</v>
      </c>
      <c r="C13" s="26" t="s">
        <v>487</v>
      </c>
      <c r="D13" s="26" t="s">
        <v>1193</v>
      </c>
      <c r="E13" s="26"/>
    </row>
    <row r="14" spans="1:9" ht="16.5">
      <c r="A14" s="26" t="s">
        <v>610</v>
      </c>
      <c r="B14" s="26" t="s">
        <v>1194</v>
      </c>
      <c r="C14" s="26" t="s">
        <v>487</v>
      </c>
      <c r="D14" s="26" t="s">
        <v>1195</v>
      </c>
      <c r="E14" s="26"/>
    </row>
    <row r="15" spans="1:9" ht="16.5">
      <c r="A15" s="26" t="s">
        <v>1196</v>
      </c>
      <c r="B15" s="26" t="s">
        <v>1197</v>
      </c>
      <c r="C15" s="26" t="s">
        <v>1171</v>
      </c>
      <c r="D15" s="26" t="s">
        <v>1198</v>
      </c>
      <c r="E15" s="26"/>
    </row>
    <row r="16" spans="1:9" ht="16.5">
      <c r="A16" s="26" t="s">
        <v>618</v>
      </c>
      <c r="B16" s="26" t="s">
        <v>1199</v>
      </c>
      <c r="C16" s="26" t="s">
        <v>487</v>
      </c>
      <c r="D16" s="26" t="s">
        <v>1200</v>
      </c>
      <c r="E16" s="26"/>
    </row>
    <row r="17" spans="1:5" ht="16.5">
      <c r="A17" s="26" t="s">
        <v>676</v>
      </c>
      <c r="B17" s="26" t="s">
        <v>1201</v>
      </c>
      <c r="C17" s="26" t="s">
        <v>487</v>
      </c>
      <c r="D17" s="26" t="s">
        <v>1202</v>
      </c>
      <c r="E17" s="26"/>
    </row>
    <row r="18" spans="1:5" ht="16.5">
      <c r="A18" s="26" t="s">
        <v>696</v>
      </c>
      <c r="B18" s="26" t="s">
        <v>1203</v>
      </c>
      <c r="C18" s="26" t="s">
        <v>487</v>
      </c>
      <c r="D18" s="26" t="s">
        <v>1204</v>
      </c>
      <c r="E18" s="26"/>
    </row>
    <row r="19" spans="1:5" ht="16.5">
      <c r="A19" s="26" t="s">
        <v>699</v>
      </c>
      <c r="B19" s="26" t="s">
        <v>1205</v>
      </c>
      <c r="C19" s="26" t="s">
        <v>487</v>
      </c>
      <c r="D19" s="26" t="s">
        <v>1206</v>
      </c>
      <c r="E19" s="26"/>
    </row>
    <row r="20" spans="1:5" ht="16.5">
      <c r="A20" s="26" t="s">
        <v>1207</v>
      </c>
      <c r="B20" s="26" t="s">
        <v>1208</v>
      </c>
      <c r="C20" s="26" t="s">
        <v>1171</v>
      </c>
      <c r="D20" s="26" t="s">
        <v>1209</v>
      </c>
      <c r="E20" s="26"/>
    </row>
    <row r="21" spans="1:5" ht="16.5">
      <c r="A21" s="26" t="s">
        <v>721</v>
      </c>
      <c r="B21" s="26" t="s">
        <v>1210</v>
      </c>
      <c r="C21" s="26" t="s">
        <v>487</v>
      </c>
      <c r="D21" s="26" t="s">
        <v>1211</v>
      </c>
      <c r="E21" s="26"/>
    </row>
    <row r="22" spans="1:5" ht="16.5">
      <c r="A22" s="26" t="s">
        <v>1212</v>
      </c>
      <c r="B22" s="26" t="s">
        <v>1213</v>
      </c>
      <c r="C22" s="26" t="s">
        <v>487</v>
      </c>
      <c r="D22" s="26" t="s">
        <v>1214</v>
      </c>
      <c r="E22" s="26"/>
    </row>
    <row r="23" spans="1:5" ht="16.5">
      <c r="A23" s="26" t="s">
        <v>729</v>
      </c>
      <c r="B23" s="26" t="s">
        <v>1215</v>
      </c>
      <c r="C23" s="26" t="s">
        <v>1171</v>
      </c>
      <c r="D23" s="26" t="s">
        <v>1216</v>
      </c>
      <c r="E23" s="26"/>
    </row>
    <row r="24" spans="1:5" ht="16.5">
      <c r="A24" s="26" t="s">
        <v>839</v>
      </c>
      <c r="B24" s="26" t="s">
        <v>1217</v>
      </c>
      <c r="C24" s="26" t="s">
        <v>487</v>
      </c>
      <c r="D24" s="26" t="s">
        <v>1218</v>
      </c>
      <c r="E24" s="26"/>
    </row>
    <row r="25" spans="1:5" ht="16.5">
      <c r="A25" s="26" t="s">
        <v>856</v>
      </c>
      <c r="B25" s="26" t="s">
        <v>1219</v>
      </c>
      <c r="C25" s="26" t="s">
        <v>487</v>
      </c>
      <c r="D25" s="26" t="s">
        <v>1220</v>
      </c>
      <c r="E25" s="26"/>
    </row>
    <row r="26" spans="1:5" ht="16.5">
      <c r="A26" s="26" t="s">
        <v>46</v>
      </c>
      <c r="B26" s="26" t="s">
        <v>1221</v>
      </c>
      <c r="C26" s="26" t="s">
        <v>487</v>
      </c>
      <c r="D26" s="26" t="s">
        <v>1222</v>
      </c>
      <c r="E26" s="26"/>
    </row>
    <row r="27" spans="1:5" ht="16.5">
      <c r="A27" s="26" t="s">
        <v>46</v>
      </c>
      <c r="B27" s="26" t="s">
        <v>1223</v>
      </c>
      <c r="C27" s="26" t="s">
        <v>487</v>
      </c>
      <c r="D27" s="26" t="s">
        <v>1224</v>
      </c>
      <c r="E27" s="26"/>
    </row>
    <row r="28" spans="1:5" ht="16.5">
      <c r="A28" s="26" t="s">
        <v>46</v>
      </c>
      <c r="B28" s="26" t="s">
        <v>1225</v>
      </c>
      <c r="C28" s="26" t="s">
        <v>487</v>
      </c>
      <c r="D28" s="26" t="s">
        <v>1226</v>
      </c>
      <c r="E28" s="26"/>
    </row>
    <row r="29" spans="1:5" ht="16.5">
      <c r="A29" s="26" t="s">
        <v>46</v>
      </c>
      <c r="B29" s="26" t="s">
        <v>1227</v>
      </c>
      <c r="C29" s="26" t="s">
        <v>487</v>
      </c>
      <c r="D29" s="26" t="s">
        <v>1228</v>
      </c>
      <c r="E29" s="26"/>
    </row>
    <row r="30" spans="1:5" ht="16.5">
      <c r="A30" s="26" t="s">
        <v>927</v>
      </c>
      <c r="B30" s="26" t="s">
        <v>1229</v>
      </c>
      <c r="C30" s="26" t="s">
        <v>487</v>
      </c>
      <c r="D30" s="26" t="s">
        <v>1230</v>
      </c>
      <c r="E30" s="26"/>
    </row>
    <row r="31" spans="1:5" ht="16.5">
      <c r="A31" s="26" t="s">
        <v>930</v>
      </c>
      <c r="B31" s="26" t="s">
        <v>1231</v>
      </c>
      <c r="C31" s="26" t="s">
        <v>487</v>
      </c>
      <c r="D31" s="26" t="s">
        <v>1232</v>
      </c>
      <c r="E31" s="26"/>
    </row>
    <row r="32" spans="1:5" ht="16.5">
      <c r="A32" s="26" t="s">
        <v>932</v>
      </c>
      <c r="B32" s="26" t="s">
        <v>1233</v>
      </c>
      <c r="C32" s="26" t="s">
        <v>487</v>
      </c>
      <c r="D32" s="26" t="s">
        <v>1234</v>
      </c>
      <c r="E32" s="26"/>
    </row>
    <row r="33" spans="1:5" ht="16.5">
      <c r="A33" s="26" t="s">
        <v>1235</v>
      </c>
      <c r="B33" s="26" t="s">
        <v>1236</v>
      </c>
      <c r="C33" s="26" t="s">
        <v>487</v>
      </c>
      <c r="D33" s="26" t="s">
        <v>1237</v>
      </c>
      <c r="E33" s="26"/>
    </row>
    <row r="34" spans="1:5" ht="16.5">
      <c r="A34" s="26" t="s">
        <v>962</v>
      </c>
      <c r="B34" s="26" t="s">
        <v>1238</v>
      </c>
      <c r="C34" s="26" t="s">
        <v>487</v>
      </c>
      <c r="D34" s="26" t="s">
        <v>1239</v>
      </c>
      <c r="E34" s="26"/>
    </row>
    <row r="35" spans="1:5" ht="16.5">
      <c r="A35" s="26" t="s">
        <v>1240</v>
      </c>
      <c r="B35" s="26" t="s">
        <v>1241</v>
      </c>
      <c r="C35" s="26" t="s">
        <v>487</v>
      </c>
      <c r="D35" s="26" t="s">
        <v>1242</v>
      </c>
      <c r="E35" s="26"/>
    </row>
    <row r="36" spans="1:5" ht="16.5">
      <c r="A36" s="26" t="s">
        <v>1243</v>
      </c>
      <c r="B36" s="26" t="s">
        <v>1244</v>
      </c>
      <c r="C36" s="26" t="s">
        <v>487</v>
      </c>
      <c r="D36" s="26" t="s">
        <v>1245</v>
      </c>
      <c r="E36" s="26"/>
    </row>
    <row r="37" spans="1:5" ht="16.5">
      <c r="A37" s="26" t="s">
        <v>977</v>
      </c>
      <c r="B37" s="26" t="s">
        <v>1246</v>
      </c>
      <c r="C37" s="26" t="s">
        <v>487</v>
      </c>
      <c r="D37" s="26" t="s">
        <v>1247</v>
      </c>
      <c r="E37" s="26"/>
    </row>
    <row r="38" spans="1:5" ht="16.5">
      <c r="A38" s="19"/>
      <c r="B38" s="19"/>
      <c r="C38" s="19"/>
      <c r="D38" s="19"/>
      <c r="E38" s="19"/>
    </row>
    <row r="39" spans="1:5" ht="16.5">
      <c r="A39" s="19"/>
      <c r="B39" s="19"/>
      <c r="C39" s="19"/>
      <c r="D39" s="19"/>
      <c r="E39" s="19"/>
    </row>
    <row r="40" spans="1:5" ht="16.5">
      <c r="A40" s="19"/>
      <c r="B40" s="19"/>
      <c r="C40" s="19"/>
      <c r="D40" s="19"/>
      <c r="E40" s="19"/>
    </row>
    <row r="41" spans="1:5" ht="16.5">
      <c r="A41" s="19"/>
      <c r="B41" s="19"/>
      <c r="C41" s="19"/>
      <c r="D41" s="19"/>
      <c r="E41" s="19"/>
    </row>
    <row r="42" spans="1:5" ht="16.5">
      <c r="A42" s="19"/>
      <c r="B42" s="19"/>
      <c r="C42" s="19"/>
      <c r="D42" s="19"/>
      <c r="E42" s="19"/>
    </row>
    <row r="43" spans="1:5" ht="16.5">
      <c r="A43" s="19"/>
      <c r="B43" s="19"/>
      <c r="C43" s="19"/>
      <c r="D43" s="19"/>
      <c r="E43" s="19"/>
    </row>
    <row r="44" spans="1:5" ht="16.5">
      <c r="A44" s="19"/>
      <c r="B44" s="19"/>
      <c r="C44" s="19"/>
      <c r="D44" s="19"/>
      <c r="E44" s="19"/>
    </row>
    <row r="45" spans="1:5" ht="16.5">
      <c r="A45" s="19"/>
      <c r="B45" s="19"/>
      <c r="C45" s="19"/>
      <c r="D45" s="19"/>
      <c r="E45" s="19"/>
    </row>
    <row r="46" spans="1:5" ht="16.5">
      <c r="A46" s="19"/>
      <c r="B46" s="19"/>
      <c r="C46" s="19"/>
      <c r="D46" s="19"/>
      <c r="E46" s="19"/>
    </row>
    <row r="47" spans="1:5" ht="16.5">
      <c r="A47" s="19"/>
      <c r="B47" s="19"/>
      <c r="C47" s="19"/>
      <c r="D47" s="19"/>
      <c r="E47" s="19"/>
    </row>
    <row r="48" spans="1:5" ht="16.5">
      <c r="A48" s="19"/>
      <c r="B48" s="19"/>
      <c r="C48" s="19"/>
      <c r="D48" s="19"/>
      <c r="E48" s="19"/>
    </row>
    <row r="49" spans="1:5" ht="16.5">
      <c r="A49" s="19"/>
      <c r="B49" s="19"/>
      <c r="C49" s="19"/>
      <c r="D49" s="19"/>
      <c r="E49" s="19"/>
    </row>
    <row r="50" spans="1:5" ht="16.5">
      <c r="A50" s="19"/>
      <c r="B50" s="19"/>
      <c r="C50" s="19"/>
      <c r="D50" s="19"/>
      <c r="E50" s="19"/>
    </row>
    <row r="51" spans="1:5" ht="16.5">
      <c r="A51" s="19"/>
      <c r="B51" s="19"/>
      <c r="C51" s="19"/>
      <c r="D51" s="19"/>
      <c r="E51" s="19"/>
    </row>
    <row r="52" spans="1:5" ht="16.5">
      <c r="A52" s="19"/>
      <c r="B52" s="19"/>
      <c r="C52" s="19"/>
      <c r="D52" s="19"/>
      <c r="E52" s="19"/>
    </row>
    <row r="53" spans="1:5" ht="16.5">
      <c r="A53" s="19"/>
      <c r="B53" s="19"/>
      <c r="C53" s="19"/>
      <c r="D53" s="19"/>
      <c r="E53" s="19"/>
    </row>
    <row r="54" spans="1:5" ht="16.5">
      <c r="A54" s="19"/>
      <c r="B54" s="19"/>
      <c r="C54" s="19"/>
      <c r="D54" s="19"/>
      <c r="E54" s="19"/>
    </row>
    <row r="55" spans="1:5" ht="16.5">
      <c r="A55" s="19"/>
      <c r="B55" s="19"/>
      <c r="C55" s="19"/>
      <c r="D55" s="19"/>
      <c r="E55" s="19"/>
    </row>
    <row r="56" spans="1:5" ht="16.5">
      <c r="A56" s="19"/>
      <c r="B56" s="19"/>
      <c r="C56" s="19"/>
      <c r="D56" s="19"/>
      <c r="E56" s="19"/>
    </row>
    <row r="57" spans="1:5" ht="16.5">
      <c r="A57" s="19"/>
      <c r="B57" s="19"/>
      <c r="C57" s="19"/>
      <c r="D57" s="19"/>
      <c r="E57" s="19"/>
    </row>
    <row r="58" spans="1:5" ht="16.5">
      <c r="A58" s="19"/>
      <c r="B58" s="19"/>
      <c r="C58" s="19"/>
      <c r="D58" s="19"/>
      <c r="E58" s="19"/>
    </row>
    <row r="59" spans="1:5" ht="16.5">
      <c r="A59" s="19"/>
      <c r="B59" s="19"/>
      <c r="C59" s="19"/>
      <c r="D59" s="19"/>
      <c r="E59" s="19"/>
    </row>
    <row r="60" spans="1:5" ht="16.5">
      <c r="A60" s="19"/>
      <c r="B60" s="19"/>
      <c r="C60" s="19"/>
      <c r="D60" s="19"/>
      <c r="E60" s="19"/>
    </row>
    <row r="61" spans="1:5" ht="16.5">
      <c r="A61" s="19"/>
      <c r="B61" s="19"/>
      <c r="C61" s="19"/>
      <c r="D61" s="19"/>
      <c r="E61" s="19"/>
    </row>
    <row r="62" spans="1:5" ht="16.5">
      <c r="A62" s="19"/>
      <c r="B62" s="19"/>
      <c r="C62" s="19"/>
      <c r="D62" s="19"/>
      <c r="E62" s="19"/>
    </row>
    <row r="63" spans="1:5" ht="16.5">
      <c r="A63" s="19"/>
      <c r="B63" s="19"/>
      <c r="C63" s="19"/>
      <c r="D63" s="19"/>
      <c r="E63" s="19"/>
    </row>
    <row r="64" spans="1:5" ht="16.5">
      <c r="A64" s="19"/>
      <c r="B64" s="19"/>
      <c r="C64" s="19"/>
      <c r="D64" s="19"/>
      <c r="E64" s="19"/>
    </row>
    <row r="65" spans="1:5" ht="16.5">
      <c r="A65" s="19"/>
      <c r="B65" s="19"/>
      <c r="C65" s="19"/>
      <c r="D65" s="19"/>
      <c r="E65" s="19"/>
    </row>
    <row r="66" spans="1:5" ht="16.5">
      <c r="A66" s="19"/>
      <c r="B66" s="19"/>
      <c r="C66" s="19"/>
      <c r="D66" s="19"/>
      <c r="E66" s="19"/>
    </row>
    <row r="67" spans="1:5" ht="16.5">
      <c r="A67" s="19"/>
      <c r="B67" s="19"/>
      <c r="C67" s="19"/>
      <c r="D67" s="19"/>
      <c r="E67" s="19"/>
    </row>
    <row r="68" spans="1:5" ht="16.5">
      <c r="A68" s="19"/>
      <c r="B68" s="19"/>
      <c r="C68" s="19"/>
      <c r="D68" s="19"/>
      <c r="E68" s="19"/>
    </row>
    <row r="69" spans="1:5" ht="16.5">
      <c r="A69" s="19"/>
      <c r="B69" s="19"/>
      <c r="C69" s="19"/>
      <c r="D69" s="19"/>
      <c r="E69" s="19"/>
    </row>
    <row r="70" spans="1:5" ht="16.5">
      <c r="A70" s="19"/>
      <c r="B70" s="19"/>
      <c r="C70" s="19"/>
      <c r="D70" s="19"/>
      <c r="E70" s="19"/>
    </row>
    <row r="71" spans="1:5" ht="16.5">
      <c r="A71" s="19"/>
      <c r="B71" s="19"/>
      <c r="C71" s="19"/>
      <c r="D71" s="19"/>
      <c r="E71" s="19"/>
    </row>
    <row r="72" spans="1:5" ht="16.5">
      <c r="A72" s="19"/>
      <c r="B72" s="19"/>
      <c r="C72" s="19"/>
      <c r="D72" s="19"/>
      <c r="E72" s="19"/>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D42F1-A27F-4A43-9069-32251B7D8F8C}">
  <sheetPr>
    <pageSetUpPr fitToPage="1"/>
  </sheetPr>
  <dimension ref="A1:H75"/>
  <sheetViews>
    <sheetView workbookViewId="0">
      <selection activeCell="A3" sqref="A3"/>
    </sheetView>
  </sheetViews>
  <sheetFormatPr defaultRowHeight="14.45"/>
  <cols>
    <col min="1" max="1" width="8.42578125" customWidth="1"/>
    <col min="2" max="2" width="21.85546875" customWidth="1"/>
    <col min="3" max="3" width="46.42578125" customWidth="1"/>
    <col min="4" max="4" width="46.5703125" customWidth="1"/>
    <col min="5" max="5" width="33.5703125" customWidth="1"/>
    <col min="6" max="6" width="72.7109375" customWidth="1"/>
    <col min="7" max="7" width="16.28515625" customWidth="1"/>
  </cols>
  <sheetData>
    <row r="1" spans="1:8" ht="21">
      <c r="A1" s="7" t="s">
        <v>1248</v>
      </c>
    </row>
    <row r="2" spans="1:8" ht="15.75">
      <c r="A2" s="6" t="str">
        <f ca="1">_xlfn.CONCAT("Updated at: ",TEXT(TODAY(),"YYYY/MM/DD"))</f>
        <v>Updated at: 2026/02/02</v>
      </c>
    </row>
    <row r="3" spans="1:8" ht="15.75">
      <c r="A3" s="6" t="s">
        <v>2</v>
      </c>
    </row>
    <row r="4" spans="1:8" ht="15">
      <c r="A4" t="s">
        <v>1249</v>
      </c>
    </row>
    <row r="5" spans="1:8" ht="15"/>
    <row r="6" spans="1:8">
      <c r="A6" s="2" t="s">
        <v>1250</v>
      </c>
    </row>
    <row r="7" spans="1:8">
      <c r="A7" s="34" t="s">
        <v>1251</v>
      </c>
    </row>
    <row r="8" spans="1:8">
      <c r="A8" t="s">
        <v>1252</v>
      </c>
      <c r="B8" t="s">
        <v>1253</v>
      </c>
      <c r="C8" t="s">
        <v>1254</v>
      </c>
      <c r="D8" t="s">
        <v>1255</v>
      </c>
      <c r="E8" t="s">
        <v>1256</v>
      </c>
      <c r="F8" t="s">
        <v>1257</v>
      </c>
      <c r="G8" t="s">
        <v>1258</v>
      </c>
      <c r="H8" t="s">
        <v>1259</v>
      </c>
    </row>
    <row r="9" spans="1:8" ht="15">
      <c r="A9">
        <v>1</v>
      </c>
      <c r="B9" s="75" t="s">
        <v>88</v>
      </c>
      <c r="C9" s="48" t="s">
        <v>90</v>
      </c>
      <c r="D9" s="32" t="s">
        <v>100</v>
      </c>
      <c r="E9" t="s">
        <v>1260</v>
      </c>
      <c r="F9" s="43" t="s">
        <v>1261</v>
      </c>
      <c r="G9" s="35" t="s">
        <v>89</v>
      </c>
      <c r="H9" s="96" t="s">
        <v>1262</v>
      </c>
    </row>
    <row r="10" spans="1:8" ht="29.25">
      <c r="A10">
        <v>2</v>
      </c>
      <c r="B10" s="75" t="s">
        <v>101</v>
      </c>
      <c r="C10" s="48" t="s">
        <v>102</v>
      </c>
      <c r="D10" s="32" t="s">
        <v>114</v>
      </c>
      <c r="E10" t="s">
        <v>1260</v>
      </c>
      <c r="F10" s="42" t="s">
        <v>1263</v>
      </c>
      <c r="G10" s="35" t="s">
        <v>101</v>
      </c>
      <c r="H10" s="96" t="s">
        <v>1262</v>
      </c>
    </row>
    <row r="11" spans="1:8" ht="15">
      <c r="A11">
        <v>3</v>
      </c>
      <c r="B11" s="75" t="s">
        <v>115</v>
      </c>
      <c r="C11" s="48" t="s">
        <v>116</v>
      </c>
      <c r="D11" s="32" t="s">
        <v>125</v>
      </c>
      <c r="E11" t="s">
        <v>1260</v>
      </c>
      <c r="F11" s="42" t="s">
        <v>1264</v>
      </c>
      <c r="G11" s="35" t="s">
        <v>115</v>
      </c>
      <c r="H11" s="96" t="s">
        <v>1262</v>
      </c>
    </row>
    <row r="12" spans="1:8" ht="15">
      <c r="A12">
        <v>4</v>
      </c>
      <c r="B12" s="75" t="s">
        <v>126</v>
      </c>
      <c r="C12" s="48" t="s">
        <v>127</v>
      </c>
      <c r="D12" s="32" t="s">
        <v>135</v>
      </c>
      <c r="E12" t="s">
        <v>1260</v>
      </c>
      <c r="F12" s="42" t="s">
        <v>1265</v>
      </c>
      <c r="G12" s="35" t="s">
        <v>126</v>
      </c>
      <c r="H12" s="96" t="s">
        <v>1262</v>
      </c>
    </row>
    <row r="13" spans="1:8" ht="29.25">
      <c r="A13">
        <v>5</v>
      </c>
      <c r="B13" s="75" t="s">
        <v>136</v>
      </c>
      <c r="C13" s="48" t="s">
        <v>137</v>
      </c>
      <c r="D13" s="32" t="s">
        <v>146</v>
      </c>
      <c r="E13" t="s">
        <v>1260</v>
      </c>
      <c r="F13" s="42" t="s">
        <v>1266</v>
      </c>
      <c r="G13" s="35" t="s">
        <v>136</v>
      </c>
      <c r="H13" s="96" t="s">
        <v>1262</v>
      </c>
    </row>
    <row r="14" spans="1:8" ht="15">
      <c r="A14">
        <v>6</v>
      </c>
      <c r="B14" s="75" t="s">
        <v>147</v>
      </c>
      <c r="C14" s="48" t="s">
        <v>148</v>
      </c>
      <c r="D14" s="32" t="s">
        <v>154</v>
      </c>
      <c r="E14" t="s">
        <v>1260</v>
      </c>
      <c r="F14" s="72" t="s">
        <v>1267</v>
      </c>
      <c r="G14" s="35" t="s">
        <v>147</v>
      </c>
      <c r="H14" s="96" t="s">
        <v>1262</v>
      </c>
    </row>
    <row r="15" spans="1:8" ht="29.25">
      <c r="A15">
        <v>7</v>
      </c>
      <c r="B15" s="75" t="s">
        <v>155</v>
      </c>
      <c r="C15" s="48" t="s">
        <v>156</v>
      </c>
      <c r="D15" s="32" t="s">
        <v>165</v>
      </c>
      <c r="E15" s="1" t="s">
        <v>1268</v>
      </c>
      <c r="F15" s="72" t="s">
        <v>1269</v>
      </c>
      <c r="G15" s="35" t="s">
        <v>155</v>
      </c>
      <c r="H15" s="96" t="s">
        <v>1262</v>
      </c>
    </row>
    <row r="16" spans="1:8" ht="15">
      <c r="A16">
        <v>8</v>
      </c>
      <c r="B16" s="75" t="s">
        <v>166</v>
      </c>
      <c r="C16" s="48" t="s">
        <v>167</v>
      </c>
      <c r="D16" s="32" t="s">
        <v>174</v>
      </c>
      <c r="E16" t="s">
        <v>1260</v>
      </c>
      <c r="F16" s="72" t="s">
        <v>1270</v>
      </c>
      <c r="G16" s="35" t="s">
        <v>166</v>
      </c>
      <c r="H16" s="96" t="s">
        <v>1262</v>
      </c>
    </row>
    <row r="17" spans="1:8" ht="29.25">
      <c r="A17">
        <v>9</v>
      </c>
      <c r="B17" s="75" t="s">
        <v>175</v>
      </c>
      <c r="C17" s="48" t="s">
        <v>176</v>
      </c>
      <c r="D17" s="32" t="s">
        <v>182</v>
      </c>
      <c r="E17" s="1" t="s">
        <v>1268</v>
      </c>
      <c r="F17" s="72" t="s">
        <v>1271</v>
      </c>
      <c r="G17" s="35" t="s">
        <v>175</v>
      </c>
      <c r="H17" s="96" t="s">
        <v>1262</v>
      </c>
    </row>
    <row r="18" spans="1:8" ht="29.25">
      <c r="A18">
        <v>10</v>
      </c>
      <c r="B18" s="75" t="s">
        <v>183</v>
      </c>
      <c r="C18" s="48" t="s">
        <v>184</v>
      </c>
      <c r="D18" s="32" t="s">
        <v>190</v>
      </c>
      <c r="E18" s="1" t="s">
        <v>1272</v>
      </c>
      <c r="F18" s="48" t="s">
        <v>1273</v>
      </c>
      <c r="G18" s="35" t="s">
        <v>183</v>
      </c>
      <c r="H18" s="96" t="s">
        <v>1262</v>
      </c>
    </row>
    <row r="19" spans="1:8" ht="15">
      <c r="A19">
        <v>11</v>
      </c>
      <c r="B19" s="75" t="s">
        <v>191</v>
      </c>
      <c r="C19" s="48" t="s">
        <v>192</v>
      </c>
      <c r="D19" s="32" t="s">
        <v>198</v>
      </c>
      <c r="E19" t="s">
        <v>1260</v>
      </c>
      <c r="F19" s="72" t="s">
        <v>1274</v>
      </c>
      <c r="G19" s="35" t="s">
        <v>191</v>
      </c>
      <c r="H19" s="96" t="s">
        <v>1262</v>
      </c>
    </row>
    <row r="20" spans="1:8" ht="29.25">
      <c r="A20">
        <v>12</v>
      </c>
      <c r="B20" s="75" t="s">
        <v>199</v>
      </c>
      <c r="C20" s="48" t="s">
        <v>200</v>
      </c>
      <c r="D20" s="32" t="s">
        <v>207</v>
      </c>
      <c r="E20" t="s">
        <v>1275</v>
      </c>
      <c r="F20" s="73" t="s">
        <v>1276</v>
      </c>
      <c r="G20" s="35" t="s">
        <v>199</v>
      </c>
      <c r="H20" s="96" t="s">
        <v>1262</v>
      </c>
    </row>
    <row r="21" spans="1:8" ht="15">
      <c r="A21">
        <v>13</v>
      </c>
      <c r="B21" s="75" t="s">
        <v>208</v>
      </c>
      <c r="C21" s="48" t="s">
        <v>209</v>
      </c>
      <c r="D21" s="32" t="s">
        <v>215</v>
      </c>
      <c r="E21" s="1" t="s">
        <v>1260</v>
      </c>
      <c r="F21" s="48" t="s">
        <v>1277</v>
      </c>
      <c r="G21" s="35" t="s">
        <v>208</v>
      </c>
      <c r="H21" s="96" t="s">
        <v>1262</v>
      </c>
    </row>
    <row r="22" spans="1:8" ht="15">
      <c r="A22">
        <v>14</v>
      </c>
      <c r="B22" s="75" t="s">
        <v>217</v>
      </c>
      <c r="C22" s="48" t="s">
        <v>218</v>
      </c>
      <c r="D22" s="32" t="s">
        <v>224</v>
      </c>
      <c r="E22" t="s">
        <v>1260</v>
      </c>
      <c r="F22" s="72" t="s">
        <v>1278</v>
      </c>
      <c r="G22" s="35" t="s">
        <v>217</v>
      </c>
      <c r="H22" s="96" t="s">
        <v>1262</v>
      </c>
    </row>
    <row r="23" spans="1:8" ht="43.5">
      <c r="A23">
        <v>15</v>
      </c>
      <c r="B23" s="75" t="s">
        <v>225</v>
      </c>
      <c r="C23" s="48" t="s">
        <v>227</v>
      </c>
      <c r="D23" s="32" t="s">
        <v>233</v>
      </c>
      <c r="E23" s="1" t="s">
        <v>1279</v>
      </c>
      <c r="F23" s="48" t="s">
        <v>227</v>
      </c>
      <c r="G23" s="35" t="s">
        <v>226</v>
      </c>
      <c r="H23" s="96" t="s">
        <v>1262</v>
      </c>
    </row>
    <row r="24" spans="1:8" ht="29.25">
      <c r="A24">
        <v>16</v>
      </c>
      <c r="B24" s="75" t="s">
        <v>234</v>
      </c>
      <c r="C24" s="48" t="s">
        <v>236</v>
      </c>
      <c r="D24" s="32" t="s">
        <v>246</v>
      </c>
      <c r="E24" s="1" t="s">
        <v>1280</v>
      </c>
      <c r="F24" s="72" t="s">
        <v>1281</v>
      </c>
      <c r="G24" s="35" t="s">
        <v>235</v>
      </c>
      <c r="H24" s="96" t="s">
        <v>1262</v>
      </c>
    </row>
    <row r="25" spans="1:8" ht="15">
      <c r="A25">
        <v>17</v>
      </c>
      <c r="B25" s="75" t="s">
        <v>247</v>
      </c>
      <c r="C25" s="48" t="s">
        <v>249</v>
      </c>
      <c r="D25" s="32" t="s">
        <v>255</v>
      </c>
      <c r="E25" s="1" t="s">
        <v>1260</v>
      </c>
      <c r="F25" s="48" t="s">
        <v>1282</v>
      </c>
      <c r="G25" s="35" t="s">
        <v>248</v>
      </c>
      <c r="H25" s="96" t="s">
        <v>1262</v>
      </c>
    </row>
    <row r="26" spans="1:8" ht="15">
      <c r="A26">
        <v>18</v>
      </c>
      <c r="B26" s="75" t="s">
        <v>256</v>
      </c>
      <c r="C26" s="48" t="s">
        <v>257</v>
      </c>
      <c r="D26" s="32" t="s">
        <v>263</v>
      </c>
      <c r="E26" s="37" t="s">
        <v>1283</v>
      </c>
      <c r="F26" s="48" t="s">
        <v>1284</v>
      </c>
      <c r="G26" s="35" t="s">
        <v>256</v>
      </c>
      <c r="H26" s="96"/>
    </row>
    <row r="27" spans="1:8" ht="29.25">
      <c r="A27">
        <v>19</v>
      </c>
      <c r="B27" s="75" t="s">
        <v>265</v>
      </c>
      <c r="C27" s="48" t="s">
        <v>266</v>
      </c>
      <c r="D27" s="32" t="s">
        <v>275</v>
      </c>
      <c r="E27" s="37" t="s">
        <v>1280</v>
      </c>
      <c r="F27" s="72" t="s">
        <v>1285</v>
      </c>
      <c r="G27" s="35" t="s">
        <v>265</v>
      </c>
      <c r="H27" s="96" t="s">
        <v>1262</v>
      </c>
    </row>
    <row r="28" spans="1:8" ht="57.75">
      <c r="A28">
        <v>20</v>
      </c>
      <c r="B28" s="75" t="s">
        <v>276</v>
      </c>
      <c r="C28" s="48" t="s">
        <v>277</v>
      </c>
      <c r="D28" s="32" t="s">
        <v>285</v>
      </c>
      <c r="E28" s="1" t="s">
        <v>1286</v>
      </c>
      <c r="F28" s="48" t="s">
        <v>1287</v>
      </c>
      <c r="G28" s="35" t="s">
        <v>276</v>
      </c>
      <c r="H28" s="96" t="s">
        <v>1262</v>
      </c>
    </row>
    <row r="29" spans="1:8" ht="29.25">
      <c r="A29">
        <v>21</v>
      </c>
      <c r="B29" s="75" t="s">
        <v>286</v>
      </c>
      <c r="C29" s="48" t="s">
        <v>287</v>
      </c>
      <c r="D29" s="32" t="s">
        <v>292</v>
      </c>
      <c r="E29" s="36"/>
      <c r="F29" s="72"/>
      <c r="G29" s="35" t="s">
        <v>286</v>
      </c>
      <c r="H29" s="96" t="s">
        <v>1262</v>
      </c>
    </row>
    <row r="30" spans="1:8" ht="15">
      <c r="A30">
        <v>22</v>
      </c>
      <c r="B30" s="75" t="s">
        <v>293</v>
      </c>
      <c r="C30" s="48" t="s">
        <v>295</v>
      </c>
      <c r="D30" s="32" t="s">
        <v>302</v>
      </c>
      <c r="F30" s="42"/>
      <c r="G30" s="35" t="s">
        <v>294</v>
      </c>
      <c r="H30" s="96" t="s">
        <v>1262</v>
      </c>
    </row>
    <row r="31" spans="1:8" ht="72.75">
      <c r="A31">
        <v>23</v>
      </c>
      <c r="B31" s="75" t="s">
        <v>303</v>
      </c>
      <c r="C31" s="48" t="s">
        <v>305</v>
      </c>
      <c r="D31" s="32" t="s">
        <v>311</v>
      </c>
      <c r="E31" s="1" t="s">
        <v>1288</v>
      </c>
      <c r="F31" s="43" t="s">
        <v>1289</v>
      </c>
      <c r="G31" s="35" t="s">
        <v>304</v>
      </c>
      <c r="H31" s="96" t="s">
        <v>1262</v>
      </c>
    </row>
    <row r="32" spans="1:8" ht="29.25">
      <c r="A32">
        <v>24</v>
      </c>
      <c r="B32" s="75" t="s">
        <v>313</v>
      </c>
      <c r="C32" s="48" t="s">
        <v>315</v>
      </c>
      <c r="D32" s="32" t="s">
        <v>321</v>
      </c>
      <c r="E32" s="1" t="s">
        <v>1280</v>
      </c>
      <c r="F32" s="42" t="s">
        <v>1290</v>
      </c>
      <c r="G32" s="35" t="s">
        <v>314</v>
      </c>
      <c r="H32" s="96" t="s">
        <v>1262</v>
      </c>
    </row>
    <row r="33" spans="1:8" ht="29.25">
      <c r="A33">
        <v>25</v>
      </c>
      <c r="B33" s="75" t="s">
        <v>322</v>
      </c>
      <c r="C33" s="48" t="s">
        <v>324</v>
      </c>
      <c r="D33" s="32" t="s">
        <v>331</v>
      </c>
      <c r="E33" s="1" t="s">
        <v>1280</v>
      </c>
      <c r="F33" s="42" t="s">
        <v>1291</v>
      </c>
      <c r="G33" s="35" t="s">
        <v>323</v>
      </c>
      <c r="H33" s="96" t="s">
        <v>1262</v>
      </c>
    </row>
    <row r="34" spans="1:8" ht="29.25">
      <c r="A34">
        <v>26</v>
      </c>
      <c r="B34" s="75" t="s">
        <v>332</v>
      </c>
      <c r="C34" s="48" t="s">
        <v>334</v>
      </c>
      <c r="D34" s="32"/>
      <c r="E34" t="s">
        <v>1280</v>
      </c>
      <c r="F34" s="1" t="s">
        <v>1292</v>
      </c>
      <c r="G34" s="35" t="s">
        <v>333</v>
      </c>
      <c r="H34" s="96" t="s">
        <v>1262</v>
      </c>
    </row>
    <row r="35" spans="1:8" ht="15">
      <c r="A35">
        <v>27</v>
      </c>
      <c r="B35" s="76" t="s">
        <v>337</v>
      </c>
      <c r="C35" s="74" t="s">
        <v>338</v>
      </c>
      <c r="D35" s="33" t="s">
        <v>344</v>
      </c>
      <c r="E35" t="s">
        <v>1260</v>
      </c>
      <c r="F35" s="42" t="s">
        <v>1293</v>
      </c>
      <c r="G35" s="35" t="s">
        <v>337</v>
      </c>
      <c r="H35" s="97" t="s">
        <v>1262</v>
      </c>
    </row>
    <row r="36" spans="1:8" ht="15">
      <c r="A36" s="29"/>
    </row>
    <row r="37" spans="1:8" ht="87">
      <c r="A37" s="29"/>
      <c r="B37" s="38"/>
      <c r="C37" s="1" t="s">
        <v>1294</v>
      </c>
      <c r="D37" s="1" t="s">
        <v>1295</v>
      </c>
    </row>
    <row r="38" spans="1:8" ht="15">
      <c r="A38" s="29"/>
    </row>
    <row r="39" spans="1:8" ht="15">
      <c r="A39" s="29"/>
    </row>
    <row r="40" spans="1:8" ht="15">
      <c r="A40" s="2" t="s">
        <v>1296</v>
      </c>
    </row>
    <row r="41" spans="1:8" ht="15">
      <c r="A41" s="29" t="s">
        <v>1297</v>
      </c>
    </row>
    <row r="42" spans="1:8" ht="15">
      <c r="A42" s="2" t="s">
        <v>1259</v>
      </c>
      <c r="B42" s="2" t="s">
        <v>1298</v>
      </c>
      <c r="C42" s="2" t="s">
        <v>1299</v>
      </c>
      <c r="D42" s="2" t="s">
        <v>1300</v>
      </c>
      <c r="E42" t="s">
        <v>1301</v>
      </c>
    </row>
    <row r="43" spans="1:8" ht="81.75" customHeight="1">
      <c r="A43" s="2"/>
      <c r="B43" s="2" t="s">
        <v>1302</v>
      </c>
      <c r="C43" t="s">
        <v>1303</v>
      </c>
      <c r="D43" s="98" t="s">
        <v>1304</v>
      </c>
      <c r="E43" s="40" t="s">
        <v>1305</v>
      </c>
    </row>
    <row r="44" spans="1:8" ht="29.25">
      <c r="A44" s="2"/>
      <c r="B44" s="2" t="s">
        <v>1306</v>
      </c>
      <c r="C44" t="s">
        <v>1307</v>
      </c>
      <c r="D44" s="31" t="s">
        <v>1308</v>
      </c>
      <c r="E44" s="40" t="s">
        <v>1309</v>
      </c>
    </row>
    <row r="45" spans="1:8" ht="29.25">
      <c r="A45" s="2"/>
      <c r="B45" s="2" t="s">
        <v>1310</v>
      </c>
      <c r="C45" t="s">
        <v>1311</v>
      </c>
      <c r="D45" s="99" t="s">
        <v>1312</v>
      </c>
      <c r="E45" s="40" t="s">
        <v>1313</v>
      </c>
    </row>
    <row r="46" spans="1:8" ht="15">
      <c r="A46" s="2"/>
    </row>
    <row r="47" spans="1:8" ht="15">
      <c r="A47" s="2"/>
    </row>
    <row r="48" spans="1:8" ht="15">
      <c r="A48" s="2" t="s">
        <v>1314</v>
      </c>
    </row>
    <row r="49" spans="1:5" ht="15">
      <c r="A49" s="29" t="s">
        <v>1315</v>
      </c>
    </row>
    <row r="50" spans="1:5" ht="15">
      <c r="A50" s="2" t="s">
        <v>1259</v>
      </c>
      <c r="B50" s="2" t="s">
        <v>1316</v>
      </c>
      <c r="C50" s="2" t="s">
        <v>1299</v>
      </c>
      <c r="D50" s="2" t="s">
        <v>19</v>
      </c>
    </row>
    <row r="51" spans="1:5" ht="15">
      <c r="A51" s="2"/>
      <c r="B51" s="2" t="s">
        <v>1317</v>
      </c>
      <c r="C51" s="1" t="s">
        <v>1318</v>
      </c>
      <c r="D51" s="1" t="s">
        <v>1319</v>
      </c>
    </row>
    <row r="52" spans="1:5" ht="29.25">
      <c r="A52" s="2"/>
      <c r="B52" s="2" t="s">
        <v>1320</v>
      </c>
      <c r="C52" t="s">
        <v>1321</v>
      </c>
      <c r="D52" s="1" t="s">
        <v>1322</v>
      </c>
    </row>
    <row r="53" spans="1:5" ht="29.25">
      <c r="A53" s="2"/>
      <c r="B53" s="2" t="s">
        <v>1323</v>
      </c>
      <c r="C53" t="s">
        <v>1324</v>
      </c>
      <c r="D53" s="1" t="s">
        <v>1325</v>
      </c>
    </row>
    <row r="54" spans="1:5" ht="29.25">
      <c r="A54" s="2"/>
      <c r="B54" s="2" t="s">
        <v>1326</v>
      </c>
      <c r="C54" t="s">
        <v>1327</v>
      </c>
      <c r="D54" s="1" t="s">
        <v>1328</v>
      </c>
    </row>
    <row r="55" spans="1:5" ht="15">
      <c r="A55" s="30" t="s">
        <v>1329</v>
      </c>
    </row>
    <row r="58" spans="1:5" ht="15">
      <c r="A58" s="2" t="s">
        <v>1330</v>
      </c>
    </row>
    <row r="59" spans="1:5" ht="15">
      <c r="A59" s="29" t="s">
        <v>1331</v>
      </c>
    </row>
    <row r="60" spans="1:5" ht="15">
      <c r="A60" s="2" t="s">
        <v>1259</v>
      </c>
      <c r="B60" s="2" t="s">
        <v>1316</v>
      </c>
      <c r="C60" s="2" t="s">
        <v>1299</v>
      </c>
      <c r="D60" s="2" t="s">
        <v>1332</v>
      </c>
      <c r="E60" s="2" t="s">
        <v>1333</v>
      </c>
    </row>
    <row r="61" spans="1:5" ht="279.75" customHeight="1">
      <c r="A61" s="2"/>
      <c r="B61" s="2" t="s">
        <v>1334</v>
      </c>
      <c r="C61" s="70" t="s">
        <v>1335</v>
      </c>
      <c r="D61" s="71" t="s">
        <v>1336</v>
      </c>
      <c r="E61" t="s">
        <v>1337</v>
      </c>
    </row>
    <row r="62" spans="1:5" ht="280.5" customHeight="1">
      <c r="A62" s="2"/>
      <c r="B62" s="2" t="s">
        <v>1338</v>
      </c>
      <c r="C62" s="70" t="s">
        <v>1339</v>
      </c>
      <c r="D62" s="71" t="s">
        <v>1336</v>
      </c>
      <c r="E62" t="s">
        <v>1337</v>
      </c>
    </row>
    <row r="63" spans="1:5" ht="109.5" customHeight="1">
      <c r="A63" s="2"/>
      <c r="B63" s="2" t="s">
        <v>1340</v>
      </c>
      <c r="C63" s="1" t="s">
        <v>1341</v>
      </c>
      <c r="D63" s="1" t="s">
        <v>1342</v>
      </c>
      <c r="E63" t="s">
        <v>1337</v>
      </c>
    </row>
    <row r="64" spans="1:5" ht="243.75" customHeight="1">
      <c r="A64" s="2"/>
      <c r="B64" s="2" t="s">
        <v>1343</v>
      </c>
      <c r="C64" s="1" t="s">
        <v>1344</v>
      </c>
      <c r="D64" s="1" t="s">
        <v>1345</v>
      </c>
      <c r="E64" t="s">
        <v>1337</v>
      </c>
    </row>
    <row r="65" spans="1:4" ht="15"/>
    <row r="66" spans="1:4" ht="15">
      <c r="A66" s="2" t="s">
        <v>1346</v>
      </c>
    </row>
    <row r="68" spans="1:4" ht="15">
      <c r="A68" t="s">
        <v>1347</v>
      </c>
    </row>
    <row r="69" spans="1:4" ht="14.45" customHeight="1">
      <c r="B69" s="102" t="s">
        <v>1348</v>
      </c>
      <c r="C69" s="102"/>
      <c r="D69" s="102"/>
    </row>
    <row r="70" spans="1:4" ht="14.45" customHeight="1">
      <c r="A70" t="s">
        <v>1349</v>
      </c>
      <c r="B70" s="78"/>
      <c r="C70" s="78"/>
      <c r="D70" s="78"/>
    </row>
    <row r="71" spans="1:4" ht="31.5" customHeight="1">
      <c r="B71" s="104" t="s">
        <v>1350</v>
      </c>
      <c r="C71" s="102"/>
      <c r="D71" s="102"/>
    </row>
    <row r="72" spans="1:4" ht="15">
      <c r="A72" t="s">
        <v>1351</v>
      </c>
    </row>
    <row r="73" spans="1:4" ht="72" customHeight="1">
      <c r="B73" s="103" t="s">
        <v>1352</v>
      </c>
      <c r="C73" s="103"/>
      <c r="D73" s="103"/>
    </row>
    <row r="74" spans="1:4" ht="15"/>
    <row r="75" spans="1:4" ht="15"/>
  </sheetData>
  <mergeCells count="3">
    <mergeCell ref="B69:D69"/>
    <mergeCell ref="B73:D73"/>
    <mergeCell ref="B71:D71"/>
  </mergeCells>
  <hyperlinks>
    <hyperlink ref="D13" r:id="rId1" xr:uid="{04B43EF5-71D3-4B57-B501-49774213BF01}"/>
    <hyperlink ref="D10" r:id="rId2" xr:uid="{DAEDE326-9D8C-4295-96E1-063065CD34F9}"/>
    <hyperlink ref="D17" r:id="rId3" xr:uid="{BBE23A97-8162-4320-9A46-8E34421FBCA4}"/>
    <hyperlink ref="D28" r:id="rId4" xr:uid="{C6AF1FAD-03AF-42C5-92B6-958B9D7067D0}"/>
    <hyperlink ref="D16" r:id="rId5" xr:uid="{DA379228-5548-4CCF-A06B-4BFD5FA4993E}"/>
    <hyperlink ref="D24" r:id="rId6" xr:uid="{807CD820-3BE7-4805-B153-AF5D7406E350}"/>
    <hyperlink ref="D27" r:id="rId7" xr:uid="{8BE42E3A-3160-4357-9317-E3CF702B71D6}"/>
    <hyperlink ref="D22" r:id="rId8" xr:uid="{BDF9FF86-6B88-4B79-B98F-A61CEC02D400}"/>
    <hyperlink ref="D12" r:id="rId9" xr:uid="{FD56D458-1646-4345-80FC-AD0DFADAF537}"/>
    <hyperlink ref="D21" r:id="rId10" xr:uid="{5CE772A7-FE4A-4A08-B3B5-7E53B43999A4}"/>
    <hyperlink ref="D20" r:id="rId11" xr:uid="{E17B9E40-37D2-4BE9-826C-36DA7AC306B0}"/>
    <hyperlink ref="D18" r:id="rId12" xr:uid="{EBA897E7-576E-45FC-9407-289AB13408D6}"/>
    <hyperlink ref="D15" r:id="rId13" xr:uid="{989E6AA1-1685-4C06-92CA-55BA54AEEF18}"/>
    <hyperlink ref="D26" r:id="rId14" xr:uid="{A079A0A8-8EB6-408A-AC4D-AEF41D73537F}"/>
    <hyperlink ref="D29" r:id="rId15" xr:uid="{9C905F56-A69A-439F-A6CE-BD36BCAD5FE3}"/>
    <hyperlink ref="D14" r:id="rId16" xr:uid="{DCC1832B-4CB5-4057-8F63-C4C8B260934B}"/>
    <hyperlink ref="D11" r:id="rId17" xr:uid="{92907F08-4E40-437F-B01D-D644CD672C1F}"/>
    <hyperlink ref="D25" r:id="rId18" xr:uid="{FD360BE9-7376-490A-893C-9C028EBC657E}"/>
    <hyperlink ref="D19" r:id="rId19" xr:uid="{A8A05EF4-ADA6-426C-8202-6B8CCBCA662E}"/>
    <hyperlink ref="D9" r:id="rId20" xr:uid="{D90EE36A-B239-48C2-BC60-7A01D46D64F6}"/>
    <hyperlink ref="D23" r:id="rId21" xr:uid="{95C341DD-1AD2-412E-8972-0CF59E07DF41}"/>
    <hyperlink ref="D30" r:id="rId22" xr:uid="{FA6F6798-7EA4-43C9-A384-4206DF234093}"/>
    <hyperlink ref="D32" r:id="rId23" xr:uid="{CD335BB5-FBA5-4E70-A4B5-BA25B1F617F2}"/>
    <hyperlink ref="D33" r:id="rId24" xr:uid="{306144A5-E1A3-4D81-ACF2-AB64AABE7106}"/>
    <hyperlink ref="D35" r:id="rId25" xr:uid="{95799845-A34F-4BE7-8990-E1A6781E5B6B}"/>
    <hyperlink ref="D31" r:id="rId26" xr:uid="{DC310E61-836F-4057-92C5-C53546B893E2}"/>
    <hyperlink ref="E43" r:id="rId27" xr:uid="{BD2ACA83-9706-4F45-9236-336C6A442093}"/>
    <hyperlink ref="E44" r:id="rId28" xr:uid="{DCA0A4DC-CB1D-4C1B-8449-5E2483BA627A}"/>
    <hyperlink ref="E45" r:id="rId29" xr:uid="{1C85648E-6BA2-494A-B2CB-92F068DFF170}"/>
  </hyperlinks>
  <pageMargins left="0.7" right="0.7" top="0.75" bottom="0.75" header="0.3" footer="0.3"/>
  <pageSetup paperSize="9" scale="35" fitToHeight="0" orientation="portrait" r:id="rId30"/>
  <tableParts count="4">
    <tablePart r:id="rId31"/>
    <tablePart r:id="rId32"/>
    <tablePart r:id="rId33"/>
    <tablePart r:id="rId3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dad366-eb37-4ba1-b695-b7ae74b28f1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Tài liệu" ma:contentTypeID="0x01010041A468CA28C99B49B482313D93D52B04" ma:contentTypeVersion="9" ma:contentTypeDescription="Tạo tài liệu mới." ma:contentTypeScope="" ma:versionID="ee7e6392734363ec08e08f9fc6309350">
  <xsd:schema xmlns:xsd="http://www.w3.org/2001/XMLSchema" xmlns:xs="http://www.w3.org/2001/XMLSchema" xmlns:p="http://schemas.microsoft.com/office/2006/metadata/properties" xmlns:ns2="5fdad366-eb37-4ba1-b695-b7ae74b28f1b" targetNamespace="http://schemas.microsoft.com/office/2006/metadata/properties" ma:root="true" ma:fieldsID="da734361fac87b2a2e4c3c1350db9176" ns2:_="">
    <xsd:import namespace="5fdad366-eb37-4ba1-b695-b7ae74b28f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dad366-eb37-4ba1-b695-b7ae74b28f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Thẻ Hình ảnh" ma:readOnly="false" ma:fieldId="{5cf76f15-5ced-4ddc-b409-7134ff3c332f}" ma:taxonomyMulti="true" ma:sspId="90b45d64-ba74-4cd2-a366-a44db7623304"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A2282E-BC16-44B7-9CA3-8A9F00FDA5D7}"/>
</file>

<file path=customXml/itemProps2.xml><?xml version="1.0" encoding="utf-8"?>
<ds:datastoreItem xmlns:ds="http://schemas.openxmlformats.org/officeDocument/2006/customXml" ds:itemID="{F2A270C5-A51A-495A-90F2-0D9627571A33}"/>
</file>

<file path=customXml/itemProps3.xml><?xml version="1.0" encoding="utf-8"?>
<ds:datastoreItem xmlns:ds="http://schemas.openxmlformats.org/officeDocument/2006/customXml" ds:itemID="{3533B259-52C3-404F-886E-01E5ADB177D2}"/>
</file>

<file path=docMetadata/LabelInfo.xml><?xml version="1.0" encoding="utf-8"?>
<clbl:labelList xmlns:clbl="http://schemas.microsoft.com/office/2020/mipLabelMetadata">
  <clbl:label id="{b86a4f3d-5b63-4b24-9cdd-03b37384bd1e}" enabled="1" method="Standard" siteId="{af1f3753-3925-4e6f-949b-97c007320803}"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Giang Phạm Thị Thùy</dc:creator>
  <cp:keywords/>
  <dc:description/>
  <cp:lastModifiedBy>Giang Phạm Thị Thùy</cp:lastModifiedBy>
  <cp:revision/>
  <dcterms:created xsi:type="dcterms:W3CDTF">2026-01-12T04:21:37Z</dcterms:created>
  <dcterms:modified xsi:type="dcterms:W3CDTF">2026-02-02T12:21:20Z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0x01010041A468CA28C99B49B482313D93D52B04</vt:lpwstr>
  </property>
  <property fmtid="{D5CDD505-2E9C-101B-9397-08002B2CF9AE}" pid="3" name="MediaServiceImageTags">
    <vt:lpwstr/>
  </property>
</Properties>
</file>